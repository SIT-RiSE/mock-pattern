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vens0-my.sharepoint.com/personal/gzhao9_stevens_edu/Documents/PHD/2025 Fall/mock pattern/RQ 1/"/>
    </mc:Choice>
  </mc:AlternateContent>
  <xr:revisionPtr revIDLastSave="332" documentId="8_{ACA7A851-1FA1-455C-B043-5D34E1566D6B}" xr6:coauthVersionLast="47" xr6:coauthVersionMax="47" xr10:uidLastSave="{DDBABC1E-6D72-44A4-966C-0D9AA6A52F7A}"/>
  <bookViews>
    <workbookView xWindow="288" yWindow="2904" windowWidth="17280" windowHeight="8880" activeTab="3" xr2:uid="{92D8587D-D265-4AD7-81BE-BADF71DF1F41}"/>
  </bookViews>
  <sheets>
    <sheet name="stats_output" sheetId="1" r:id="rId1"/>
    <sheet name="subject" sheetId="6" r:id="rId2"/>
    <sheet name="Sheet1" sheetId="2" r:id="rId3"/>
    <sheet name="Sheet2" sheetId="4" r:id="rId4"/>
    <sheet name="Sheet3" sheetId="5" r:id="rId5"/>
  </sheets>
  <externalReferences>
    <externalReference r:id="rId6"/>
  </externalReferences>
  <definedNames>
    <definedName name="_xlchart.v1.0" hidden="1">Sheet1!$D$1</definedName>
    <definedName name="_xlchart.v1.1" hidden="1">Sheet1!$D$2:$D$113</definedName>
    <definedName name="_xlchart.v1.2" hidden="1">Sheet1!$C$1</definedName>
    <definedName name="_xlchart.v1.3" hidden="1">Sheet1!$C$2:$C$113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6" l="1"/>
  <c r="O14" i="6"/>
  <c r="N14" i="6"/>
  <c r="M14" i="6"/>
  <c r="O2" i="2"/>
  <c r="M2" i="2"/>
  <c r="L2" i="2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2" i="1"/>
  <c r="K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2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2" i="2"/>
</calcChain>
</file>

<file path=xl/sharedStrings.xml><?xml version="1.0" encoding="utf-8"?>
<sst xmlns="http://schemas.openxmlformats.org/spreadsheetml/2006/main" count="708" uniqueCount="389">
  <si>
    <t>project_name</t>
  </si>
  <si>
    <t>mock_object_count</t>
  </si>
  <si>
    <t xml:space="preserve">java file </t>
  </si>
  <si>
    <t>% Lv0</t>
  </si>
  <si>
    <t>CloudStack</t>
  </si>
  <si>
    <t>https://github.com/apache/cloudstack.git</t>
  </si>
  <si>
    <t>Geode</t>
  </si>
  <si>
    <t>https://github.com/apache/geode.git</t>
  </si>
  <si>
    <t>Hadoop</t>
  </si>
  <si>
    <t>https://github.com/apache/hadoop.git</t>
  </si>
  <si>
    <t>Ranger</t>
  </si>
  <si>
    <t>https://github.com/apache/ranger.git</t>
  </si>
  <si>
    <t>NiFi</t>
  </si>
  <si>
    <t>https://github.com/apache/nifi.git</t>
  </si>
  <si>
    <t>Pulsar</t>
  </si>
  <si>
    <t>https://github.com/apache/pulsar.git</t>
  </si>
  <si>
    <t>Beam</t>
  </si>
  <si>
    <t>https://github.com/apache/beam.git</t>
  </si>
  <si>
    <t>Ozone</t>
  </si>
  <si>
    <t>https://github.com/apache/ozone.git</t>
  </si>
  <si>
    <t>Fineract</t>
  </si>
  <si>
    <t>https://github.com/apache/fineract.git</t>
  </si>
  <si>
    <t>Pinot</t>
  </si>
  <si>
    <t>https://github.com/apache/pinot.git</t>
  </si>
  <si>
    <t>Qpid</t>
  </si>
  <si>
    <t>https://github.com/apache/qpid-broker-j.git</t>
  </si>
  <si>
    <t>Kylin</t>
  </si>
  <si>
    <t>https://github.com/apache/kylin.git</t>
  </si>
  <si>
    <t>CXF</t>
  </si>
  <si>
    <t>https://github.com/apache/cxf.git</t>
  </si>
  <si>
    <t>Hop</t>
  </si>
  <si>
    <t>https://github.com/apache/hop.git</t>
  </si>
  <si>
    <t>Tez</t>
  </si>
  <si>
    <t>https://github.com/apache/tez.git</t>
  </si>
  <si>
    <t>Hive</t>
  </si>
  <si>
    <t>https://github.com/apache/hive.git</t>
  </si>
  <si>
    <t>HBase</t>
  </si>
  <si>
    <t>https://github.com/apache/hbase.git</t>
  </si>
  <si>
    <t>Camel</t>
  </si>
  <si>
    <t>https://github.com/apache/camel.git</t>
  </si>
  <si>
    <t>JAMES</t>
  </si>
  <si>
    <t>https://github.com/apache/james-project.git</t>
  </si>
  <si>
    <t>Gobblin</t>
  </si>
  <si>
    <t>https://github.com/apache/gobblin.git</t>
  </si>
  <si>
    <t>Ambari</t>
  </si>
  <si>
    <t>https://github.com/apache/ambari.git</t>
  </si>
  <si>
    <t>Hudi</t>
  </si>
  <si>
    <t>https://github.com/apache/hudi.git</t>
  </si>
  <si>
    <t>Druid</t>
  </si>
  <si>
    <t>https://github.com/apache/druid.git</t>
  </si>
  <si>
    <t>Flink</t>
  </si>
  <si>
    <t>https://github.com/apache/flink.git</t>
  </si>
  <si>
    <t>BookKeeper</t>
  </si>
  <si>
    <t>https://github.com/apache/bookkeeper.git</t>
  </si>
  <si>
    <t>Lingo</t>
  </si>
  <si>
    <t>https://github.com/apache/olingo-odata4.git</t>
  </si>
  <si>
    <t>Iceberg</t>
  </si>
  <si>
    <t>https://github.com/apache/iceberg.git</t>
  </si>
  <si>
    <t>IoTDB</t>
  </si>
  <si>
    <t>https://github.com/apache/iotdb.git</t>
  </si>
  <si>
    <t>FOP</t>
  </si>
  <si>
    <t>Storm</t>
  </si>
  <si>
    <t>https://github.com/apache/storm.git</t>
  </si>
  <si>
    <t>Solr</t>
  </si>
  <si>
    <t>https://github.com/apache/solr.git</t>
  </si>
  <si>
    <t>Phoenix</t>
  </si>
  <si>
    <t>https://github.com/apache/phoenix.git</t>
  </si>
  <si>
    <t>Commons-Configuration</t>
  </si>
  <si>
    <t>https://github.com/apache/commons-configuration.git</t>
  </si>
  <si>
    <t>Aries</t>
  </si>
  <si>
    <t>https://github.com/apache/aries.git</t>
  </si>
  <si>
    <t>HttpComponents-Client</t>
  </si>
  <si>
    <t>https://github.com/apache/httpcomponents-client.git</t>
  </si>
  <si>
    <t>Cassandra</t>
  </si>
  <si>
    <t>https://github.com/apache/cassandra.git</t>
  </si>
  <si>
    <t>Helix</t>
  </si>
  <si>
    <t>https://github.com/apache/helix.git</t>
  </si>
  <si>
    <t>Cayenne</t>
  </si>
  <si>
    <t>https://github.com/apache/cayenne.git</t>
  </si>
  <si>
    <t>HttpComponents-Core</t>
  </si>
  <si>
    <t>https://github.com/apache/httpcomponents-core.git</t>
  </si>
  <si>
    <t>Oozie</t>
  </si>
  <si>
    <t>https://github.com/apache/oozie.git</t>
  </si>
  <si>
    <t>SkyWalking</t>
  </si>
  <si>
    <t>https://github.com/apache/skywalking.git</t>
  </si>
  <si>
    <t>Maven</t>
  </si>
  <si>
    <t>https://github.com/apache/maven.git</t>
  </si>
  <si>
    <t>Vysper</t>
  </si>
  <si>
    <t>https://github.com/apache/mina-vysper.git</t>
  </si>
  <si>
    <t>SeaTunnel</t>
  </si>
  <si>
    <t>https://github.com/apache/seatunnel.git</t>
  </si>
  <si>
    <t>Log4j</t>
  </si>
  <si>
    <t>https://github.com/apache/logging-log4j2.git</t>
  </si>
  <si>
    <t>Zeppelin</t>
  </si>
  <si>
    <t>https://github.com/apache/zeppelin.git</t>
  </si>
  <si>
    <t>Lens</t>
  </si>
  <si>
    <t>https://github.com/apache/lens.git</t>
  </si>
  <si>
    <t>Syncope</t>
  </si>
  <si>
    <t>https://github.com/apache/syncope.git</t>
  </si>
  <si>
    <t>ZooKeeper</t>
  </si>
  <si>
    <t>https://github.com/apache/zookeeper.git</t>
  </si>
  <si>
    <t>Causeway</t>
  </si>
  <si>
    <t>https://github.com/apache/causeway.git</t>
  </si>
  <si>
    <t>Sqoop</t>
  </si>
  <si>
    <t>https://github.com/apache/sqoop.git</t>
  </si>
  <si>
    <t>Continuum</t>
  </si>
  <si>
    <t>https://github.com/apache/continuum.git</t>
  </si>
  <si>
    <t>Shiro</t>
  </si>
  <si>
    <t>https://github.com/apache/shiro.git</t>
  </si>
  <si>
    <t>InLong</t>
  </si>
  <si>
    <t>https://github.com/apache/inlong.git</t>
  </si>
  <si>
    <t>Wicket</t>
  </si>
  <si>
    <t>https://github.com/apache/wicket.git</t>
  </si>
  <si>
    <t>Flume</t>
  </si>
  <si>
    <t>https://github.com/apache/flume.git</t>
  </si>
  <si>
    <t>EventMesh</t>
  </si>
  <si>
    <t>https://github.com/apache/eventmesh.git</t>
  </si>
  <si>
    <t>ManifoldCF</t>
  </si>
  <si>
    <t>https://github.com/apache/manifoldcf.git</t>
  </si>
  <si>
    <t>Falcon</t>
  </si>
  <si>
    <t>https://github.com/apache/falcon.git</t>
  </si>
  <si>
    <t>Ignite</t>
  </si>
  <si>
    <t>https://github.com/apache/ignite.git</t>
  </si>
  <si>
    <t>Spark</t>
  </si>
  <si>
    <t>https://github.com/apache/spark.git</t>
  </si>
  <si>
    <t>Commons-IO</t>
  </si>
  <si>
    <t>https://github.com/apache/commons-io.git</t>
  </si>
  <si>
    <t>Crunch</t>
  </si>
  <si>
    <t>https://github.com/apache/crunch.git</t>
  </si>
  <si>
    <t>Linkis</t>
  </si>
  <si>
    <t>https://github.com/apache/linkis.git</t>
  </si>
  <si>
    <t>Archiva</t>
  </si>
  <si>
    <t>https://github.com/apache/archiva.git</t>
  </si>
  <si>
    <t>MINA</t>
  </si>
  <si>
    <t>https://github.com/apache/mina.git</t>
  </si>
  <si>
    <t>Commons-DbUtils</t>
  </si>
  <si>
    <t>https://github.com/apache/commons-dbutils.git</t>
  </si>
  <si>
    <t>Whirr</t>
  </si>
  <si>
    <t>https://github.com/apache/whirr.git</t>
  </si>
  <si>
    <t>JSPWiki</t>
  </si>
  <si>
    <t>https://github.com/apache/jspwiki.git</t>
  </si>
  <si>
    <t>Giraph</t>
  </si>
  <si>
    <t>https://github.com/apache/giraph.git</t>
  </si>
  <si>
    <t>Turbine</t>
  </si>
  <si>
    <t>https://github.com/apache/turbine-core.git</t>
  </si>
  <si>
    <t>SSHD</t>
  </si>
  <si>
    <t>https://github.com/apache/mina-sshd.git</t>
  </si>
  <si>
    <t>Parquet</t>
  </si>
  <si>
    <t>https://github.com/apache/parquet-mr.git</t>
  </si>
  <si>
    <t>ActiveMQ</t>
  </si>
  <si>
    <t>https://github.com/apache/activemq.git</t>
  </si>
  <si>
    <t>PLC4X</t>
  </si>
  <si>
    <t>https://github.com/apache/plc4x.git</t>
  </si>
  <si>
    <t>Struts</t>
  </si>
  <si>
    <t>https://github.com/apache/struts.git</t>
  </si>
  <si>
    <t>OFBiz</t>
  </si>
  <si>
    <t>https://github.com/apache/ofbiz-framework.git</t>
  </si>
  <si>
    <t>MyFaces</t>
  </si>
  <si>
    <t>https://github.com/apache/myfaces.git</t>
  </si>
  <si>
    <t>Jackrabbit</t>
  </si>
  <si>
    <t>https://github.com/apache/jackrabbit.git</t>
  </si>
  <si>
    <t>Tika</t>
  </si>
  <si>
    <t>https://github.com/apache/tika.git</t>
  </si>
  <si>
    <t>Impala</t>
  </si>
  <si>
    <t>https://github.com/apache/impala.git</t>
  </si>
  <si>
    <t>OpenMeetings</t>
  </si>
  <si>
    <t>https://github.com/apache/openmeetings.git</t>
  </si>
  <si>
    <t>Roller</t>
  </si>
  <si>
    <t>https://github.com/apache/roller.git</t>
  </si>
  <si>
    <t>ORC</t>
  </si>
  <si>
    <t>https://github.com/apache/orc.git</t>
  </si>
  <si>
    <t>XML-Graphics-Commons</t>
  </si>
  <si>
    <t>https://github.com/apache/xmlgraphics-commons.git</t>
  </si>
  <si>
    <t>Pig</t>
  </si>
  <si>
    <t>https://github.com/apache/pig.git</t>
  </si>
  <si>
    <t>Jena</t>
  </si>
  <si>
    <t>https://github.com/apache/jena.git</t>
  </si>
  <si>
    <t>Commons-Compress</t>
  </si>
  <si>
    <t>https://github.com/apache/commons-compress.git</t>
  </si>
  <si>
    <t>Avro</t>
  </si>
  <si>
    <t>https://github.com/apache/avro.git</t>
  </si>
  <si>
    <t>Commons-Text</t>
  </si>
  <si>
    <t>https://github.com/apache/commons-text.git</t>
  </si>
  <si>
    <t>Submarine</t>
  </si>
  <si>
    <t>https://github.com/apache/submarine.git</t>
  </si>
  <si>
    <t>Directory</t>
  </si>
  <si>
    <t>https://github.com/apache/directory-ldap-api.git</t>
  </si>
  <si>
    <t>REEF</t>
  </si>
  <si>
    <t>https://github.com/apache/reef.git</t>
  </si>
  <si>
    <t>Rat</t>
  </si>
  <si>
    <t>https://github.com/apache/creadur-rat.git</t>
  </si>
  <si>
    <t>TsFile</t>
  </si>
  <si>
    <t>https://github.com/apache/tsfile.git</t>
  </si>
  <si>
    <t>OODT</t>
  </si>
  <si>
    <t>https://github.com/apache/oodt.git</t>
  </si>
  <si>
    <t>Apex</t>
  </si>
  <si>
    <t>https://github.com/apache/apex-core.git</t>
  </si>
  <si>
    <t>Axiom</t>
  </si>
  <si>
    <t>https://github.com/apache/ws-axiom.git</t>
  </si>
  <si>
    <t>TomEE</t>
  </si>
  <si>
    <t>https://github.com/apache/tomee.git</t>
  </si>
  <si>
    <t>Axis2</t>
  </si>
  <si>
    <t>POI</t>
  </si>
  <si>
    <t>Any23</t>
  </si>
  <si>
    <t>Commons-DBCP</t>
  </si>
  <si>
    <t>MRUnit</t>
  </si>
  <si>
    <t>UIMA</t>
  </si>
  <si>
    <t>Clerezza</t>
  </si>
  <si>
    <t>Commons-BCEL</t>
  </si>
  <si>
    <t>Commons-Chain</t>
  </si>
  <si>
    <t>BVal</t>
  </si>
  <si>
    <t>Commons-VFS</t>
  </si>
  <si>
    <t>DeltaSpike</t>
  </si>
  <si>
    <t>Thrift</t>
  </si>
  <si>
    <t>Empire-db</t>
  </si>
  <si>
    <t>Calcite</t>
  </si>
  <si>
    <t>Commons-CLI</t>
  </si>
  <si>
    <t>Commons-Email</t>
  </si>
  <si>
    <t>PDFBox</t>
  </si>
  <si>
    <t>Kerby</t>
  </si>
  <si>
    <t>Polygene</t>
  </si>
  <si>
    <t>Yetus</t>
  </si>
  <si>
    <t>Accumulo</t>
  </si>
  <si>
    <t>Airavata</t>
  </si>
  <si>
    <t>Ant</t>
  </si>
  <si>
    <t>AntUnit</t>
  </si>
  <si>
    <t>Arrow</t>
  </si>
  <si>
    <t>Bigtop</t>
  </si>
  <si>
    <t>Brooklyn</t>
  </si>
  <si>
    <t>CarbonData</t>
  </si>
  <si>
    <t>Chainsaw</t>
  </si>
  <si>
    <t>Chemistry</t>
  </si>
  <si>
    <t>Chukwa</t>
  </si>
  <si>
    <t>Click</t>
  </si>
  <si>
    <t>Cocoon</t>
  </si>
  <si>
    <t>Commons-BeanUtils</t>
  </si>
  <si>
    <t>Commons-BSF</t>
  </si>
  <si>
    <t>Commons-Codec</t>
  </si>
  <si>
    <t>Commons-Collections</t>
  </si>
  <si>
    <t>Commons-Crypto</t>
  </si>
  <si>
    <t>Commons-CSV</t>
  </si>
  <si>
    <t>Commons-Daemon</t>
  </si>
  <si>
    <t>Commons-Digester</t>
  </si>
  <si>
    <t>Commons-Exec</t>
  </si>
  <si>
    <t>Commons-FileUpload</t>
  </si>
  <si>
    <t>Commons-Functor</t>
  </si>
  <si>
    <t>Commons-Geometry</t>
  </si>
  <si>
    <t>Commons-Imaging</t>
  </si>
  <si>
    <t>Commons-JCI</t>
  </si>
  <si>
    <t>Commons-JCS</t>
  </si>
  <si>
    <t>Commons-Jelly</t>
  </si>
  <si>
    <t>Commons-JEXL</t>
  </si>
  <si>
    <t>Commons-JXPath</t>
  </si>
  <si>
    <t>Commons-Lang</t>
  </si>
  <si>
    <t>Commons-Logging</t>
  </si>
  <si>
    <t>Commons-Math</t>
  </si>
  <si>
    <t>Commons-Net</t>
  </si>
  <si>
    <t>Commons-Numbers</t>
  </si>
  <si>
    <t>Commons-OGNL</t>
  </si>
  <si>
    <t>Commons-Pool</t>
  </si>
  <si>
    <t>Commons-Proxy</t>
  </si>
  <si>
    <t>Commons-RDF</t>
  </si>
  <si>
    <t>Commons-RNG</t>
  </si>
  <si>
    <t>Commons-SCXML</t>
  </si>
  <si>
    <t>Commons-Statistics</t>
  </si>
  <si>
    <t>Commons-Validator</t>
  </si>
  <si>
    <t>Commons-Weaver</t>
  </si>
  <si>
    <t>Compress-Ant-Library</t>
  </si>
  <si>
    <t>Cordova</t>
  </si>
  <si>
    <t>cTAKES</t>
  </si>
  <si>
    <t>Curator</t>
  </si>
  <si>
    <t>Daffodil</t>
  </si>
  <si>
    <t>DataFu</t>
  </si>
  <si>
    <t>datasketches</t>
  </si>
  <si>
    <t>Derby</t>
  </si>
  <si>
    <t>DirectMemory</t>
  </si>
  <si>
    <t>Directory-Server</t>
  </si>
  <si>
    <t>Directory-Studio</t>
  </si>
  <si>
    <t>Doris</t>
  </si>
  <si>
    <t>Drill</t>
  </si>
  <si>
    <t>Etch</t>
  </si>
  <si>
    <t>Felix</t>
  </si>
  <si>
    <t>Fluo-Recipes</t>
  </si>
  <si>
    <t>Fluo-YARN</t>
  </si>
  <si>
    <t>Fluo</t>
  </si>
  <si>
    <t>Forrest</t>
  </si>
  <si>
    <t>Fortress</t>
  </si>
  <si>
    <t>FreeMarker</t>
  </si>
  <si>
    <t>FtpServer</t>
  </si>
  <si>
    <t>Geronimo</t>
  </si>
  <si>
    <t>Gora</t>
  </si>
  <si>
    <t>Groovy</t>
  </si>
  <si>
    <t>Guacamole</t>
  </si>
  <si>
    <t>Hama</t>
  </si>
  <si>
    <t>Harmony</t>
  </si>
  <si>
    <t>Ivy</t>
  </si>
  <si>
    <t>IvyDE</t>
  </si>
  <si>
    <t>jclouds</t>
  </si>
  <si>
    <t>JDO</t>
  </si>
  <si>
    <t>JMeter</t>
  </si>
  <si>
    <t>Karaf</t>
  </si>
  <si>
    <t>Knox</t>
  </si>
  <si>
    <t>Lenya</t>
  </si>
  <si>
    <t>Lucene-Core</t>
  </si>
  <si>
    <t>Mahout</t>
  </si>
  <si>
    <t>Marmotta</t>
  </si>
  <si>
    <t>Maven-Doxia</t>
  </si>
  <si>
    <t>MetaModel</t>
  </si>
  <si>
    <t>NetBeans</t>
  </si>
  <si>
    <t>Nutch</t>
  </si>
  <si>
    <t>ODE</t>
  </si>
  <si>
    <t>Oltu-Parent</t>
  </si>
  <si>
    <t>OpenJPA</t>
  </si>
  <si>
    <t>OpenNLP</t>
  </si>
  <si>
    <t>OpenWebBeans</t>
  </si>
  <si>
    <t>Pivot</t>
  </si>
  <si>
    <t>Portals</t>
  </si>
  <si>
    <t>Props-Ant-Library</t>
  </si>
  <si>
    <t>Santuario</t>
  </si>
  <si>
    <t>ServiceMix</t>
  </si>
  <si>
    <t>Shindig</t>
  </si>
  <si>
    <t>Sling</t>
  </si>
  <si>
    <t>Spatial-Information-System</t>
  </si>
  <si>
    <t>Stanbol</t>
  </si>
  <si>
    <t>Stratos</t>
  </si>
  <si>
    <t>Synapse</t>
  </si>
  <si>
    <t>Tajo</t>
  </si>
  <si>
    <t>Tapestry</t>
  </si>
  <si>
    <t>Tentacles</t>
  </si>
  <si>
    <t>Tiles</t>
  </si>
  <si>
    <t>Tobago</t>
  </si>
  <si>
    <t>Tomcat</t>
  </si>
  <si>
    <t>Unomi</t>
  </si>
  <si>
    <t>Velocity-Tools</t>
  </si>
  <si>
    <t>Velocity</t>
  </si>
  <si>
    <t>VSS-Ant-Library</t>
  </si>
  <si>
    <t>VXQuery</t>
  </si>
  <si>
    <t>Whisker</t>
  </si>
  <si>
    <t>Wink</t>
  </si>
  <si>
    <t>Wookie</t>
  </si>
  <si>
    <t>Xalan</t>
  </si>
  <si>
    <t>Xerces</t>
  </si>
  <si>
    <t>XMLBeans</t>
  </si>
  <si>
    <t>% Lv1</t>
  </si>
  <si>
    <t>% Lv2</t>
  </si>
  <si>
    <t>csum%</t>
    <phoneticPr fontId="18" type="noConversion"/>
  </si>
  <si>
    <t>Percentage Range</t>
  </si>
  <si>
    <t>Count</t>
  </si>
  <si>
    <t>Level 0 (%)</t>
  </si>
  <si>
    <t>Level 1 (%)</t>
  </si>
  <si>
    <t>Level 2 (%)</t>
  </si>
  <si>
    <t>8+</t>
  </si>
  <si>
    <t>Stub Count</t>
    <phoneticPr fontId="18" type="noConversion"/>
  </si>
  <si>
    <t>Level 0</t>
  </si>
  <si>
    <t>Level 1</t>
  </si>
  <si>
    <t>Level 2</t>
  </si>
  <si>
    <t>[0%-20%)</t>
  </si>
  <si>
    <t>(20%-40%)</t>
  </si>
  <si>
    <t>[40%-60%)</t>
  </si>
  <si>
    <t>(40%-60%)</t>
  </si>
  <si>
    <t>[60%-80%)</t>
  </si>
  <si>
    <t>(60%-80%)</t>
  </si>
  <si>
    <t>(80%-100%]</t>
  </si>
  <si>
    <t xml:space="preserve"> Lv0</t>
  </si>
  <si>
    <t>Lv1</t>
  </si>
  <si>
    <t>Lv2</t>
  </si>
  <si>
    <t>Test case</t>
  </si>
  <si>
    <t>Test suit</t>
  </si>
  <si>
    <t>java_loc</t>
  </si>
  <si>
    <t>link</t>
  </si>
  <si>
    <t>project size</t>
  </si>
  <si>
    <t>Large</t>
  </si>
  <si>
    <t>Medium</t>
  </si>
  <si>
    <t>Small</t>
  </si>
  <si>
    <t>Project</t>
  </si>
  <si>
    <t>Number</t>
  </si>
  <si>
    <t>max</t>
  </si>
  <si>
    <t>MIN</t>
  </si>
  <si>
    <t>AVG</t>
  </si>
  <si>
    <t>MEDA</t>
  </si>
  <si>
    <t>Years</t>
  </si>
  <si>
    <t>Years</t>
    <phoneticPr fontId="18" type="noConversion"/>
  </si>
  <si>
    <t>min</t>
    <phoneticPr fontId="18" type="noConversion"/>
  </si>
  <si>
    <t>max</t>
    <phoneticPr fontId="18" type="noConversion"/>
  </si>
  <si>
    <t>avg</t>
    <phoneticPr fontId="18" type="noConversion"/>
  </si>
  <si>
    <t>med</t>
    <phoneticPr fontId="18" type="noConversion"/>
  </si>
  <si>
    <t>https://github.com/apache/xmlgraphics-fop.git</t>
    <phoneticPr fontId="18" type="noConversion"/>
  </si>
  <si>
    <t>Year</t>
    <phoneticPr fontId="18" type="noConversion"/>
  </si>
  <si>
    <t>Sharing Ratio Range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</si>
</sst>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9" fontId="0" fillId="0" borderId="0" xfId="1" applyFont="1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33" borderId="0" xfId="0" applyFill="1">
      <alignment vertical="center"/>
    </xf>
    <xf numFmtId="9" fontId="0" fillId="33" borderId="0" xfId="1" applyFont="1" applyFill="1">
      <alignment vertical="center"/>
    </xf>
    <xf numFmtId="0" fontId="0" fillId="0" borderId="0" xfId="0" applyAlignment="1"/>
    <xf numFmtId="0" fontId="20" fillId="0" borderId="0" xfId="0" applyFont="1">
      <alignment vertical="center"/>
    </xf>
    <xf numFmtId="9" fontId="20" fillId="0" borderId="0" xfId="0" applyNumberFormat="1" applyFont="1">
      <alignment vertical="center"/>
    </xf>
    <xf numFmtId="176" fontId="0" fillId="0" borderId="0" xfId="0" applyNumberFormat="1" applyAlignment="1"/>
    <xf numFmtId="176" fontId="0" fillId="0" borderId="0" xfId="0" applyNumberFormat="1">
      <alignment vertical="center"/>
    </xf>
    <xf numFmtId="176" fontId="0" fillId="33" borderId="0" xfId="0" applyNumberFormat="1" applyFill="1">
      <alignment vertical="center"/>
    </xf>
    <xf numFmtId="0" fontId="21" fillId="0" borderId="0" xfId="43">
      <alignment vertical="center"/>
    </xf>
    <xf numFmtId="1" fontId="0" fillId="0" borderId="0" xfId="0" applyNumberFormat="1">
      <alignment vertical="center"/>
    </xf>
  </cellXfs>
  <cellStyles count="44">
    <cellStyle name="20% - 着色 1" xfId="20" builtinId="30" customBuiltin="1"/>
    <cellStyle name="20% - 着色 2" xfId="24" builtinId="34" customBuiltin="1"/>
    <cellStyle name="20% - 着色 3" xfId="28" builtinId="38" customBuiltin="1"/>
    <cellStyle name="20% - 着色 4" xfId="32" builtinId="42" customBuiltin="1"/>
    <cellStyle name="20% - 着色 5" xfId="36" builtinId="46" customBuiltin="1"/>
    <cellStyle name="20% - 着色 6" xfId="40" builtinId="50" customBuiltin="1"/>
    <cellStyle name="40% - 着色 1" xfId="21" builtinId="31" customBuiltin="1"/>
    <cellStyle name="40% - 着色 2" xfId="25" builtinId="35" customBuiltin="1"/>
    <cellStyle name="40% - 着色 3" xfId="29" builtinId="39" customBuiltin="1"/>
    <cellStyle name="40% - 着色 4" xfId="33" builtinId="43" customBuiltin="1"/>
    <cellStyle name="40% - 着色 5" xfId="37" builtinId="47" customBuiltin="1"/>
    <cellStyle name="40% - 着色 6" xfId="41" builtinId="51" customBuiltin="1"/>
    <cellStyle name="60% - 着色 1" xfId="22" builtinId="32" customBuiltin="1"/>
    <cellStyle name="60% - 着色 2" xfId="26" builtinId="36" customBuiltin="1"/>
    <cellStyle name="60% - 着色 3" xfId="30" builtinId="40" customBuiltin="1"/>
    <cellStyle name="60% - 着色 4" xfId="34" builtinId="44" customBuiltin="1"/>
    <cellStyle name="60% - 着色 5" xfId="38" builtinId="48" customBuiltin="1"/>
    <cellStyle name="60% - 着色 6" xfId="42" builtinId="52" customBuiltin="1"/>
    <cellStyle name="百分比" xfId="1" builtinId="5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超链接" xfId="43" builtinId="8"/>
    <cellStyle name="好" xfId="7" builtinId="26" customBuiltin="1"/>
    <cellStyle name="汇总" xfId="18" builtinId="25" customBuiltin="1"/>
    <cellStyle name="计算" xfId="12" builtinId="22" customBuiltin="1"/>
    <cellStyle name="检查单元格" xfId="14" builtinId="23" customBuiltin="1"/>
    <cellStyle name="解释性文本" xfId="17" builtinId="53" customBuiltin="1"/>
    <cellStyle name="警告文本" xfId="15" builtinId="11" customBuiltin="1"/>
    <cellStyle name="链接单元格" xfId="13" builtinId="24" customBuiltin="1"/>
    <cellStyle name="适中" xfId="9" builtinId="28" customBuiltin="1"/>
    <cellStyle name="输出" xfId="11" builtinId="21" customBuiltin="1"/>
    <cellStyle name="输入" xfId="10" builtinId="20" customBuiltin="1"/>
    <cellStyle name="着色 1" xfId="19" builtinId="29" customBuiltin="1"/>
    <cellStyle name="着色 2" xfId="23" builtinId="33" customBuiltin="1"/>
    <cellStyle name="着色 3" xfId="27" builtinId="37" customBuiltin="1"/>
    <cellStyle name="着色 4" xfId="31" builtinId="41" customBuiltin="1"/>
    <cellStyle name="着色 5" xfId="35" builtinId="45" customBuiltin="1"/>
    <cellStyle name="着色 6" xfId="39" builtinId="49" customBuiltin="1"/>
    <cellStyle name="注释" xfId="16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 Lv0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Sheet2!$A$2:$A$6</c:f>
              <c:strCache>
                <c:ptCount val="5"/>
                <c:pt idx="0">
                  <c:v>[0%-20%)</c:v>
                </c:pt>
                <c:pt idx="1">
                  <c:v>(20%-40%)</c:v>
                </c:pt>
                <c:pt idx="2">
                  <c:v>[40%-60%)</c:v>
                </c:pt>
                <c:pt idx="3">
                  <c:v>[60%-80%)</c:v>
                </c:pt>
                <c:pt idx="4">
                  <c:v>(80%-100%]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13</c:v>
                </c:pt>
                <c:pt idx="3">
                  <c:v>34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9-4B6D-B7DD-98DD0AA08F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64783456"/>
        <c:axId val="1064783936"/>
      </c:barChart>
      <c:catAx>
        <c:axId val="1064783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4783936"/>
        <c:crosses val="autoZero"/>
        <c:auto val="1"/>
        <c:lblAlgn val="ctr"/>
        <c:lblOffset val="100"/>
        <c:noMultiLvlLbl val="0"/>
      </c:catAx>
      <c:valAx>
        <c:axId val="1064783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6478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Sheet2!$F$2:$F$6</c:f>
              <c:strCache>
                <c:ptCount val="5"/>
                <c:pt idx="0">
                  <c:v>[0%-20%)</c:v>
                </c:pt>
                <c:pt idx="1">
                  <c:v>(20%-40%)</c:v>
                </c:pt>
                <c:pt idx="2">
                  <c:v>(40%-60%)</c:v>
                </c:pt>
                <c:pt idx="3">
                  <c:v>(60%-80%)</c:v>
                </c:pt>
                <c:pt idx="4">
                  <c:v>(80%-100%]</c:v>
                </c:pt>
              </c:strCache>
            </c:strRef>
          </c:cat>
          <c:val>
            <c:numRef>
              <c:f>Sheet2!$G$2:$G$6</c:f>
              <c:numCache>
                <c:formatCode>General</c:formatCode>
                <c:ptCount val="5"/>
                <c:pt idx="0">
                  <c:v>1279</c:v>
                </c:pt>
                <c:pt idx="1">
                  <c:v>1159</c:v>
                </c:pt>
                <c:pt idx="2">
                  <c:v>1138</c:v>
                </c:pt>
                <c:pt idx="3">
                  <c:v>455</c:v>
                </c:pt>
                <c:pt idx="4">
                  <c:v>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6-4E3F-9492-5507A99138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92374896"/>
        <c:axId val="1392374416"/>
      </c:barChart>
      <c:catAx>
        <c:axId val="1392374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2374416"/>
        <c:crosses val="autoZero"/>
        <c:auto val="1"/>
        <c:lblAlgn val="ctr"/>
        <c:lblOffset val="100"/>
        <c:noMultiLvlLbl val="0"/>
      </c:catAx>
      <c:valAx>
        <c:axId val="1392374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9237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130627047885798E-2"/>
          <c:y val="5.0551181102362203E-2"/>
          <c:w val="0.89828729197666413"/>
          <c:h val="0.678877588218139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 Lv0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Sheet2!$A$2:$A$6</c:f>
              <c:strCache>
                <c:ptCount val="5"/>
                <c:pt idx="0">
                  <c:v>[0%-20%)</c:v>
                </c:pt>
                <c:pt idx="1">
                  <c:v>(20%-40%)</c:v>
                </c:pt>
                <c:pt idx="2">
                  <c:v>[40%-60%)</c:v>
                </c:pt>
                <c:pt idx="3">
                  <c:v>[60%-80%)</c:v>
                </c:pt>
                <c:pt idx="4">
                  <c:v>(80%-100%]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13</c:v>
                </c:pt>
                <c:pt idx="3">
                  <c:v>34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D-4A04-BE5E-214E8D26A293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Lv1</c:v>
                </c:pt>
              </c:strCache>
            </c:strRef>
          </c:tx>
          <c:spPr>
            <a:pattFill prst="pct10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Sheet2!$A$2:$A$6</c:f>
              <c:strCache>
                <c:ptCount val="5"/>
                <c:pt idx="0">
                  <c:v>[0%-20%)</c:v>
                </c:pt>
                <c:pt idx="1">
                  <c:v>(20%-40%)</c:v>
                </c:pt>
                <c:pt idx="2">
                  <c:v>[40%-60%)</c:v>
                </c:pt>
                <c:pt idx="3">
                  <c:v>[60%-80%)</c:v>
                </c:pt>
                <c:pt idx="4">
                  <c:v>(80%-100%]</c:v>
                </c:pt>
              </c:strCache>
            </c:strRef>
          </c:cat>
          <c:val>
            <c:numRef>
              <c:f>Sheet2!$C$2:$C$6</c:f>
              <c:numCache>
                <c:formatCode>General</c:formatCode>
                <c:ptCount val="5"/>
                <c:pt idx="0">
                  <c:v>64</c:v>
                </c:pt>
                <c:pt idx="1">
                  <c:v>23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D-4A04-BE5E-214E8D26A293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Lv2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Sheet2!$A$2:$A$6</c:f>
              <c:strCache>
                <c:ptCount val="5"/>
                <c:pt idx="0">
                  <c:v>[0%-20%)</c:v>
                </c:pt>
                <c:pt idx="1">
                  <c:v>(20%-40%)</c:v>
                </c:pt>
                <c:pt idx="2">
                  <c:v>[40%-60%)</c:v>
                </c:pt>
                <c:pt idx="3">
                  <c:v>[60%-80%)</c:v>
                </c:pt>
                <c:pt idx="4">
                  <c:v>(80%-100%]</c:v>
                </c:pt>
              </c:strCache>
            </c:strRef>
          </c:cat>
          <c:val>
            <c:numRef>
              <c:f>Sheet2!$D$2:$D$6</c:f>
              <c:numCache>
                <c:formatCode>General</c:formatCode>
                <c:ptCount val="5"/>
                <c:pt idx="0">
                  <c:v>85</c:v>
                </c:pt>
                <c:pt idx="1">
                  <c:v>10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D-4A04-BE5E-214E8D26A2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1416512"/>
        <c:axId val="1421415072"/>
      </c:barChart>
      <c:catAx>
        <c:axId val="1421416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baseline="0"/>
                  <a:t>X: Projects Binned by % of L0 / L1 / L2 Mocks Title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415072"/>
        <c:crosses val="autoZero"/>
        <c:auto val="1"/>
        <c:lblAlgn val="ctr"/>
        <c:lblOffset val="100"/>
        <c:noMultiLvlLbl val="0"/>
      </c:catAx>
      <c:valAx>
        <c:axId val="142141507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baseline="0"/>
                  <a:t>Y: Number of Projects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42141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1366988746855622"/>
          <c:y val="0.1388888888888889"/>
          <c:w val="0.30913495020378962"/>
          <c:h val="0.10380006846970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Level 0 (%)</c:v>
                </c:pt>
              </c:strCache>
            </c:strRef>
          </c:tx>
          <c:spPr>
            <a:pattFill prst="divot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6"/>
              <c:layout>
                <c:manualLayout>
                  <c:x val="-6.8752123691747241E-3"/>
                  <c:y val="-3.66930464148979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82-40E9-9CA0-128C6AF5681D}"/>
                </c:ext>
              </c:extLst>
            </c:dLbl>
            <c:dLbl>
              <c:idx val="7"/>
              <c:layout>
                <c:manualLayout>
                  <c:x val="7.9586102135914549E-3"/>
                  <c:y val="2.754504617723658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82-40E9-9CA0-128C6AF5681D}"/>
                </c:ext>
              </c:extLst>
            </c:dLbl>
            <c:dLbl>
              <c:idx val="8"/>
              <c:layout>
                <c:manualLayout>
                  <c:x val="4.5834074883628825E-3"/>
                  <c:y val="-3.21568026119785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E82-40E9-9CA0-128C6AF568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tx1"/>
                </a:solidFill>
                <a:tailEnd type="triangle"/>
              </a:ln>
              <a:effectLst/>
            </c:spPr>
            <c:trendlineType val="linear"/>
            <c:dispRSqr val="0"/>
            <c:dispEq val="0"/>
          </c:trendline>
          <c:cat>
            <c:strRef>
              <c:f>Sheet3!$A$2:$A$10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8+</c:v>
                </c:pt>
              </c:strCache>
            </c:strRef>
          </c:cat>
          <c:val>
            <c:numRef>
              <c:f>Sheet3!$B$2:$B$10</c:f>
              <c:numCache>
                <c:formatCode>0%</c:formatCode>
                <c:ptCount val="9"/>
                <c:pt idx="0">
                  <c:v>0.72</c:v>
                </c:pt>
                <c:pt idx="1">
                  <c:v>0.83</c:v>
                </c:pt>
                <c:pt idx="2">
                  <c:v>0.73</c:v>
                </c:pt>
                <c:pt idx="3">
                  <c:v>0.66</c:v>
                </c:pt>
                <c:pt idx="4">
                  <c:v>0.56999999999999995</c:v>
                </c:pt>
                <c:pt idx="5">
                  <c:v>0.52</c:v>
                </c:pt>
                <c:pt idx="6">
                  <c:v>0.42</c:v>
                </c:pt>
                <c:pt idx="7">
                  <c:v>0.43</c:v>
                </c:pt>
                <c:pt idx="8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9-47D4-B82E-69119C2AE553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Level 1 (%)</c:v>
                </c:pt>
              </c:strCache>
            </c:strRef>
          </c:tx>
          <c:spPr>
            <a:solidFill>
              <a:schemeClr val="bg1">
                <a:alpha val="7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1"/>
              <c:layout>
                <c:manualLayout>
                  <c:x val="1.2542017701954435E-2"/>
                  <c:y val="-1.37600461754283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82-40E9-9CA0-128C6AF5681D}"/>
                </c:ext>
              </c:extLst>
            </c:dLbl>
            <c:dLbl>
              <c:idx val="2"/>
              <c:layout>
                <c:manualLayout>
                  <c:x val="4.5834074883628825E-3"/>
                  <c:y val="4.630923866599014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82-40E9-9CA0-128C6AF568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Sheet3!$A$2:$A$10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8+</c:v>
                </c:pt>
              </c:strCache>
            </c:strRef>
          </c:cat>
          <c:val>
            <c:numRef>
              <c:f>Sheet3!$C$2:$C$10</c:f>
              <c:numCache>
                <c:formatCode>0%</c:formatCode>
                <c:ptCount val="9"/>
                <c:pt idx="0">
                  <c:v>0.28000000000000003</c:v>
                </c:pt>
                <c:pt idx="1">
                  <c:v>0.1</c:v>
                </c:pt>
                <c:pt idx="2">
                  <c:v>0.1</c:v>
                </c:pt>
                <c:pt idx="3">
                  <c:v>0.09</c:v>
                </c:pt>
                <c:pt idx="4">
                  <c:v>0.09</c:v>
                </c:pt>
                <c:pt idx="5">
                  <c:v>0.08</c:v>
                </c:pt>
                <c:pt idx="6">
                  <c:v>0.09</c:v>
                </c:pt>
                <c:pt idx="7">
                  <c:v>7.0000000000000007E-2</c:v>
                </c:pt>
                <c:pt idx="8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B9-47D4-B82E-69119C2AE553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Level 2 (%)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1"/>
              <c:layout>
                <c:manualLayout>
                  <c:x val="1.2180851374938642E-2"/>
                  <c:y val="2.2958605218532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82-40E9-9CA0-128C6AF5681D}"/>
                </c:ext>
              </c:extLst>
            </c:dLbl>
            <c:dLbl>
              <c:idx val="2"/>
              <c:layout>
                <c:manualLayout>
                  <c:x val="2.7737114362513231E-2"/>
                  <c:y val="-2.75070729631800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82-40E9-9CA0-128C6AF5681D}"/>
                </c:ext>
              </c:extLst>
            </c:dLbl>
            <c:dLbl>
              <c:idx val="5"/>
              <c:layout>
                <c:manualLayout>
                  <c:x val="-2.2917374563915746E-3"/>
                  <c:y val="4.586630801862244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82-40E9-9CA0-128C6AF5681D}"/>
                </c:ext>
              </c:extLst>
            </c:dLbl>
            <c:dLbl>
              <c:idx val="6"/>
              <c:layout>
                <c:manualLayout>
                  <c:x val="1.0611480284788638E-2"/>
                  <c:y val="-4.592950652542560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E82-40E9-9CA0-128C6AF5681D}"/>
                </c:ext>
              </c:extLst>
            </c:dLbl>
            <c:dLbl>
              <c:idx val="7"/>
              <c:layout>
                <c:manualLayout>
                  <c:x val="7.2362775595599688E-3"/>
                  <c:y val="2.754504617723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E82-40E9-9CA0-128C6AF568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tx1"/>
                </a:solidFill>
                <a:prstDash val="sysDash"/>
                <a:tailEnd type="triangle"/>
              </a:ln>
              <a:effectLst/>
            </c:spPr>
            <c:trendlineType val="linear"/>
            <c:dispRSqr val="0"/>
            <c:dispEq val="0"/>
          </c:trendline>
          <c:cat>
            <c:strRef>
              <c:f>Sheet3!$A$2:$A$10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8+</c:v>
                </c:pt>
              </c:strCache>
            </c:strRef>
          </c:cat>
          <c:val>
            <c:numRef>
              <c:f>Sheet3!$D$2:$D$10</c:f>
              <c:numCache>
                <c:formatCode>0%</c:formatCode>
                <c:ptCount val="9"/>
                <c:pt idx="0">
                  <c:v>0</c:v>
                </c:pt>
                <c:pt idx="1">
                  <c:v>7.0000000000000007E-2</c:v>
                </c:pt>
                <c:pt idx="2">
                  <c:v>0.17</c:v>
                </c:pt>
                <c:pt idx="3">
                  <c:v>0.25</c:v>
                </c:pt>
                <c:pt idx="4">
                  <c:v>0.34</c:v>
                </c:pt>
                <c:pt idx="5">
                  <c:v>0.4</c:v>
                </c:pt>
                <c:pt idx="6">
                  <c:v>0.49</c:v>
                </c:pt>
                <c:pt idx="7">
                  <c:v>0.5</c:v>
                </c:pt>
                <c:pt idx="8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B9-47D4-B82E-69119C2AE5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8"/>
        <c:axId val="1098655696"/>
        <c:axId val="1098656176"/>
      </c:barChart>
      <c:catAx>
        <c:axId val="1098655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cap="none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cap="none" baseline="0"/>
                  <a:t>Stub Count per Mock Object</a:t>
                </a:r>
                <a:endParaRPr lang="zh-CN" cap="none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cap="none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8656176"/>
        <c:crosses val="autoZero"/>
        <c:auto val="1"/>
        <c:lblAlgn val="ctr"/>
        <c:lblOffset val="100"/>
        <c:noMultiLvlLbl val="0"/>
      </c:catAx>
      <c:valAx>
        <c:axId val="1098656176"/>
        <c:scaling>
          <c:orientation val="minMax"/>
          <c:max val="1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cap="none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cap="none" baseline="0"/>
                  <a:t>Distribution of Mock Patterns (%)</a:t>
                </a:r>
                <a:endParaRPr lang="zh-CN" cap="none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cap="none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out"/>
        <c:minorTickMark val="none"/>
        <c:tickLblPos val="nextTo"/>
        <c:crossAx val="109865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L1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zh-CN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等线" panose="02010600030101010101" pitchFamily="2" charset="-122"/>
            </a:rPr>
            <a:t>L1</a:t>
          </a:r>
        </a:p>
      </cx:txPr>
    </cx:title>
    <cx:plotArea>
      <cx:plotAreaRegion>
        <cx:series layoutId="clusteredColumn" uniqueId="{B756FAF0-FBE9-4221-A442-1DDE73A0DBBF}">
          <cx:tx>
            <cx:txData>
              <cx:f>_xlchart.v1.2</cx:f>
              <cx:v>% Lv1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0.20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等线" panose="02010600030101010101" pitchFamily="2" charset="-122"/>
              </a:rPr>
              <a:t>L2</a:t>
            </a:r>
            <a:endPara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等线" panose="02010600030101010101" pitchFamily="2" charset="-122"/>
            </a:endParaRPr>
          </a:p>
        </cx:rich>
      </cx:tx>
    </cx:title>
    <cx:plotArea>
      <cx:plotAreaRegion>
        <cx:series layoutId="clusteredColumn" uniqueId="{B5758FBC-0D8A-4BCD-AF69-9D7AAA9C41A5}">
          <cx:tx>
            <cx:txData>
              <cx:f>_xlchart.v1.0</cx:f>
              <cx:v>% Lv2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0.20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417194</xdr:colOff>
      <xdr:row>13</xdr:row>
      <xdr:rowOff>78104</xdr:rowOff>
    </xdr:from>
    <xdr:to>
      <xdr:col>23</xdr:col>
      <xdr:colOff>455294</xdr:colOff>
      <xdr:row>29</xdr:row>
      <xdr:rowOff>15239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E9073A43-88F6-32CD-ED6F-A7C3F2D08D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09834" y="2356484"/>
              <a:ext cx="4305300" cy="2741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8</xdr:col>
      <xdr:colOff>564832</xdr:colOff>
      <xdr:row>12</xdr:row>
      <xdr:rowOff>153352</xdr:rowOff>
    </xdr:from>
    <xdr:to>
      <xdr:col>15</xdr:col>
      <xdr:colOff>602932</xdr:colOff>
      <xdr:row>28</xdr:row>
      <xdr:rowOff>93345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图表 3">
              <a:extLst>
                <a:ext uri="{FF2B5EF4-FFF2-40B4-BE49-F238E27FC236}">
                  <a16:creationId xmlns:a16="http://schemas.microsoft.com/office/drawing/2014/main" id="{2E35587B-2297-C9D1-AC1A-8C1B5A1435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80672" y="2256472"/>
              <a:ext cx="4305300" cy="27441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47624</xdr:colOff>
      <xdr:row>28</xdr:row>
      <xdr:rowOff>99059</xdr:rowOff>
    </xdr:from>
    <xdr:to>
      <xdr:col>16</xdr:col>
      <xdr:colOff>85724</xdr:colOff>
      <xdr:row>44</xdr:row>
      <xdr:rowOff>40005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B070DE3-2D1D-0DCC-5A4B-EFB17FEE3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404812</xdr:colOff>
      <xdr:row>5</xdr:row>
      <xdr:rowOff>45719</xdr:rowOff>
    </xdr:from>
    <xdr:to>
      <xdr:col>24</xdr:col>
      <xdr:colOff>442912</xdr:colOff>
      <xdr:row>19</xdr:row>
      <xdr:rowOff>161925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5A4A97F-04C4-AB13-A6DC-8972317D2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250983</xdr:colOff>
      <xdr:row>7</xdr:row>
      <xdr:rowOff>23336</xdr:rowOff>
    </xdr:from>
    <xdr:to>
      <xdr:col>15</xdr:col>
      <xdr:colOff>324803</xdr:colOff>
      <xdr:row>23</xdr:row>
      <xdr:rowOff>23336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79EACD-DEA0-680A-6142-948ACA8DB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60006</xdr:colOff>
      <xdr:row>3</xdr:row>
      <xdr:rowOff>61912</xdr:rowOff>
    </xdr:from>
    <xdr:to>
      <xdr:col>11</xdr:col>
      <xdr:colOff>309564</xdr:colOff>
      <xdr:row>19</xdr:row>
      <xdr:rowOff>8571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4171AE3-B7A1-89AE-131C-C44A2EF1C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590\OneDrive%20-%20stevens.edu\PHD\2025%20Fall\mock%20pattern\RQ%201\project_size_report.csv" TargetMode="External"/><Relationship Id="rId1" Type="http://schemas.openxmlformats.org/officeDocument/2006/relationships/externalLinkPath" Target="file:///C:\Users\10590\OneDrive%20-%20stevens.edu\PHD\2025%20Fall\mock%20pattern\RQ%201\project_size_repor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_size_report"/>
    </sheetNames>
    <sheetDataSet>
      <sheetData sheetId="0">
        <row r="1">
          <cell r="A1" t="str">
            <v>project</v>
          </cell>
          <cell r="B1" t="str">
            <v>java_files</v>
          </cell>
          <cell r="C1" t="str">
            <v>classes</v>
          </cell>
          <cell r="D1" t="str">
            <v>methods</v>
          </cell>
          <cell r="E1" t="str">
            <v>total_loc</v>
          </cell>
          <cell r="F1" t="str">
            <v>java_loc</v>
          </cell>
        </row>
        <row r="2">
          <cell r="A2" t="str">
            <v>.NET_Ant_Library</v>
          </cell>
          <cell r="B2">
            <v>22</v>
          </cell>
          <cell r="C2">
            <v>38</v>
          </cell>
          <cell r="D2">
            <v>488</v>
          </cell>
          <cell r="E2">
            <v>16444</v>
          </cell>
          <cell r="F2">
            <v>6637</v>
          </cell>
        </row>
        <row r="3">
          <cell r="A3" t="str">
            <v>Accumulo</v>
          </cell>
          <cell r="B3">
            <v>2344</v>
          </cell>
          <cell r="C3">
            <v>6409</v>
          </cell>
          <cell r="D3">
            <v>42318</v>
          </cell>
          <cell r="E3">
            <v>1742004</v>
          </cell>
          <cell r="F3">
            <v>634886</v>
          </cell>
        </row>
        <row r="4">
          <cell r="A4" t="str">
            <v>Airavata</v>
          </cell>
          <cell r="B4">
            <v>929</v>
          </cell>
          <cell r="C4">
            <v>1353</v>
          </cell>
          <cell r="D4">
            <v>9346</v>
          </cell>
          <cell r="E4">
            <v>1980819</v>
          </cell>
          <cell r="F4">
            <v>128733</v>
          </cell>
        </row>
        <row r="5">
          <cell r="A5" t="str">
            <v>Ant</v>
          </cell>
          <cell r="B5">
            <v>1333</v>
          </cell>
          <cell r="C5">
            <v>3065</v>
          </cell>
          <cell r="D5">
            <v>19523</v>
          </cell>
          <cell r="E5">
            <v>1131314</v>
          </cell>
          <cell r="F5">
            <v>287941</v>
          </cell>
        </row>
        <row r="6">
          <cell r="A6" t="str">
            <v>AntUnit</v>
          </cell>
          <cell r="B6">
            <v>37</v>
          </cell>
          <cell r="C6">
            <v>61</v>
          </cell>
          <cell r="D6">
            <v>477</v>
          </cell>
          <cell r="E6">
            <v>17590</v>
          </cell>
          <cell r="F6">
            <v>5368</v>
          </cell>
        </row>
        <row r="7">
          <cell r="A7" t="str">
            <v>Any23</v>
          </cell>
          <cell r="B7">
            <v>439</v>
          </cell>
          <cell r="C7">
            <v>625</v>
          </cell>
          <cell r="D7">
            <v>3816</v>
          </cell>
          <cell r="E7">
            <v>461120</v>
          </cell>
          <cell r="F7">
            <v>54127</v>
          </cell>
        </row>
        <row r="8">
          <cell r="A8" t="str">
            <v>Apex</v>
          </cell>
          <cell r="B8">
            <v>474</v>
          </cell>
          <cell r="C8">
            <v>1330</v>
          </cell>
          <cell r="D8">
            <v>6121</v>
          </cell>
          <cell r="E8">
            <v>269418</v>
          </cell>
          <cell r="F8">
            <v>107595</v>
          </cell>
        </row>
        <row r="9">
          <cell r="A9" t="str">
            <v>Arrow</v>
          </cell>
          <cell r="B9">
            <v>0</v>
          </cell>
          <cell r="C9">
            <v>0</v>
          </cell>
          <cell r="D9">
            <v>0</v>
          </cell>
          <cell r="E9">
            <v>3324011</v>
          </cell>
          <cell r="F9">
            <v>0</v>
          </cell>
        </row>
        <row r="10">
          <cell r="A10" t="str">
            <v>Axiom</v>
          </cell>
          <cell r="B10">
            <v>2045</v>
          </cell>
          <cell r="C10">
            <v>2291</v>
          </cell>
          <cell r="D10">
            <v>9542</v>
          </cell>
          <cell r="E10">
            <v>442548</v>
          </cell>
          <cell r="F10">
            <v>149125</v>
          </cell>
        </row>
        <row r="11">
          <cell r="A11" t="str">
            <v>Axis2</v>
          </cell>
          <cell r="B11">
            <v>2959</v>
          </cell>
          <cell r="C11">
            <v>5165</v>
          </cell>
          <cell r="D11">
            <v>30205</v>
          </cell>
          <cell r="E11">
            <v>1430223</v>
          </cell>
          <cell r="F11">
            <v>498539</v>
          </cell>
        </row>
        <row r="12">
          <cell r="A12" t="str">
            <v>BVal</v>
          </cell>
          <cell r="B12">
            <v>322</v>
          </cell>
          <cell r="C12">
            <v>792</v>
          </cell>
          <cell r="D12">
            <v>2230</v>
          </cell>
          <cell r="E12">
            <v>77332</v>
          </cell>
          <cell r="F12">
            <v>37577</v>
          </cell>
        </row>
        <row r="13">
          <cell r="A13" t="str">
            <v>Bigtop</v>
          </cell>
          <cell r="B13">
            <v>183</v>
          </cell>
          <cell r="C13">
            <v>208</v>
          </cell>
          <cell r="D13">
            <v>739</v>
          </cell>
          <cell r="E13">
            <v>878710</v>
          </cell>
          <cell r="F13">
            <v>13893</v>
          </cell>
        </row>
        <row r="14">
          <cell r="A14" t="str">
            <v>Brooklyn</v>
          </cell>
          <cell r="B14">
            <v>0</v>
          </cell>
          <cell r="C14">
            <v>0</v>
          </cell>
          <cell r="D14">
            <v>0</v>
          </cell>
          <cell r="E14">
            <v>13013</v>
          </cell>
          <cell r="F14">
            <v>0</v>
          </cell>
        </row>
        <row r="15">
          <cell r="A15" t="str">
            <v>Calcite</v>
          </cell>
          <cell r="B15">
            <v>2550</v>
          </cell>
          <cell r="C15">
            <v>5511</v>
          </cell>
          <cell r="D15">
            <v>45050</v>
          </cell>
          <cell r="E15">
            <v>1788961</v>
          </cell>
          <cell r="F15">
            <v>687365</v>
          </cell>
        </row>
        <row r="16">
          <cell r="A16" t="str">
            <v>CarbonData</v>
          </cell>
          <cell r="B16">
            <v>1142</v>
          </cell>
          <cell r="C16">
            <v>1634</v>
          </cell>
          <cell r="D16">
            <v>14438</v>
          </cell>
          <cell r="E16">
            <v>1324669</v>
          </cell>
          <cell r="F16">
            <v>213117</v>
          </cell>
        </row>
        <row r="17">
          <cell r="A17" t="str">
            <v>Chainsaw</v>
          </cell>
          <cell r="B17">
            <v>189</v>
          </cell>
          <cell r="C17">
            <v>381</v>
          </cell>
          <cell r="D17">
            <v>2555</v>
          </cell>
          <cell r="E17">
            <v>77293</v>
          </cell>
          <cell r="F17">
            <v>43808</v>
          </cell>
        </row>
        <row r="18">
          <cell r="A18" t="str">
            <v>Chemistry</v>
          </cell>
          <cell r="B18">
            <v>0</v>
          </cell>
          <cell r="C18">
            <v>0</v>
          </cell>
          <cell r="D18">
            <v>0</v>
          </cell>
          <cell r="E18">
            <v>34220</v>
          </cell>
          <cell r="F18">
            <v>0</v>
          </cell>
        </row>
        <row r="19">
          <cell r="A19" t="str">
            <v>Chukwa</v>
          </cell>
          <cell r="B19">
            <v>469</v>
          </cell>
          <cell r="C19">
            <v>670</v>
          </cell>
          <cell r="D19">
            <v>3164</v>
          </cell>
          <cell r="E19">
            <v>759458</v>
          </cell>
          <cell r="F19">
            <v>64821</v>
          </cell>
        </row>
        <row r="20">
          <cell r="A20" t="str">
            <v>Clerezza</v>
          </cell>
          <cell r="B20">
            <v>246</v>
          </cell>
          <cell r="C20">
            <v>346</v>
          </cell>
          <cell r="D20">
            <v>1914</v>
          </cell>
          <cell r="E20">
            <v>283926</v>
          </cell>
          <cell r="F20">
            <v>26758</v>
          </cell>
        </row>
        <row r="21">
          <cell r="A21" t="str">
            <v>Click</v>
          </cell>
          <cell r="B21">
            <v>461</v>
          </cell>
          <cell r="C21">
            <v>1041</v>
          </cell>
          <cell r="D21">
            <v>5865</v>
          </cell>
          <cell r="E21">
            <v>1197062</v>
          </cell>
          <cell r="F21">
            <v>113085</v>
          </cell>
        </row>
        <row r="22">
          <cell r="A22" t="str">
            <v>Cocoon</v>
          </cell>
          <cell r="B22">
            <v>2811</v>
          </cell>
          <cell r="C22">
            <v>4465</v>
          </cell>
          <cell r="D22">
            <v>26964</v>
          </cell>
          <cell r="E22">
            <v>3960344</v>
          </cell>
          <cell r="F22">
            <v>487610</v>
          </cell>
        </row>
        <row r="23">
          <cell r="A23" t="str">
            <v>Commons-BCEL</v>
          </cell>
          <cell r="B23">
            <v>654</v>
          </cell>
          <cell r="C23">
            <v>1779</v>
          </cell>
          <cell r="D23">
            <v>6868</v>
          </cell>
          <cell r="E23">
            <v>282101</v>
          </cell>
          <cell r="F23">
            <v>89162</v>
          </cell>
        </row>
        <row r="24">
          <cell r="A24" t="str">
            <v>Commons-BSF</v>
          </cell>
          <cell r="B24">
            <v>78</v>
          </cell>
          <cell r="C24">
            <v>261</v>
          </cell>
          <cell r="D24">
            <v>756</v>
          </cell>
          <cell r="E24">
            <v>98916</v>
          </cell>
          <cell r="F24">
            <v>11383</v>
          </cell>
        </row>
        <row r="25">
          <cell r="A25" t="str">
            <v>Commons-BeanUtils</v>
          </cell>
          <cell r="B25">
            <v>293</v>
          </cell>
          <cell r="C25">
            <v>732</v>
          </cell>
          <cell r="D25">
            <v>4088</v>
          </cell>
          <cell r="E25">
            <v>148820</v>
          </cell>
          <cell r="F25">
            <v>54437</v>
          </cell>
        </row>
        <row r="26">
          <cell r="A26" t="str">
            <v>Commons-CLI</v>
          </cell>
          <cell r="B26">
            <v>87</v>
          </cell>
          <cell r="C26">
            <v>150</v>
          </cell>
          <cell r="D26">
            <v>1167</v>
          </cell>
          <cell r="E26">
            <v>71313</v>
          </cell>
          <cell r="F26">
            <v>20090</v>
          </cell>
        </row>
        <row r="27">
          <cell r="A27" t="str">
            <v>Commons-CSV</v>
          </cell>
          <cell r="B27">
            <v>54</v>
          </cell>
          <cell r="C27">
            <v>78</v>
          </cell>
          <cell r="D27">
            <v>1061</v>
          </cell>
          <cell r="E27">
            <v>628173</v>
          </cell>
          <cell r="F27">
            <v>16588</v>
          </cell>
        </row>
        <row r="28">
          <cell r="A28" t="str">
            <v>Commons-Chain</v>
          </cell>
          <cell r="B28">
            <v>153</v>
          </cell>
          <cell r="C28">
            <v>228</v>
          </cell>
          <cell r="D28">
            <v>1415</v>
          </cell>
          <cell r="E28">
            <v>46043</v>
          </cell>
          <cell r="F28">
            <v>18956</v>
          </cell>
        </row>
        <row r="29">
          <cell r="A29" t="str">
            <v>Commons-Codec</v>
          </cell>
          <cell r="B29">
            <v>161</v>
          </cell>
          <cell r="C29">
            <v>299</v>
          </cell>
          <cell r="D29">
            <v>2945</v>
          </cell>
          <cell r="E29">
            <v>128249</v>
          </cell>
          <cell r="F29">
            <v>46342</v>
          </cell>
        </row>
        <row r="30">
          <cell r="A30" t="str">
            <v>Commons-Collections</v>
          </cell>
          <cell r="B30">
            <v>659</v>
          </cell>
          <cell r="C30">
            <v>1371</v>
          </cell>
          <cell r="D30">
            <v>8780</v>
          </cell>
          <cell r="E30">
            <v>371519</v>
          </cell>
          <cell r="F30">
            <v>140048</v>
          </cell>
        </row>
        <row r="31">
          <cell r="A31" t="str">
            <v>Commons-Crypto</v>
          </cell>
          <cell r="B31">
            <v>103</v>
          </cell>
          <cell r="C31">
            <v>192</v>
          </cell>
          <cell r="D31">
            <v>1083</v>
          </cell>
          <cell r="E31">
            <v>56222</v>
          </cell>
          <cell r="F31">
            <v>15000</v>
          </cell>
        </row>
        <row r="32">
          <cell r="A32" t="str">
            <v>Commons-DBCP</v>
          </cell>
          <cell r="B32">
            <v>147</v>
          </cell>
          <cell r="C32">
            <v>255</v>
          </cell>
          <cell r="D32">
            <v>4487</v>
          </cell>
          <cell r="E32">
            <v>136388</v>
          </cell>
          <cell r="F32">
            <v>49970</v>
          </cell>
        </row>
        <row r="33">
          <cell r="A33" t="str">
            <v>Commons-Daemon</v>
          </cell>
          <cell r="B33">
            <v>19</v>
          </cell>
          <cell r="C33">
            <v>47</v>
          </cell>
          <cell r="D33">
            <v>190</v>
          </cell>
          <cell r="E33">
            <v>60592</v>
          </cell>
          <cell r="F33">
            <v>3582</v>
          </cell>
        </row>
        <row r="34">
          <cell r="A34" t="str">
            <v>Commons-Digester</v>
          </cell>
          <cell r="B34">
            <v>316</v>
          </cell>
          <cell r="C34">
            <v>679</v>
          </cell>
          <cell r="D34">
            <v>2495</v>
          </cell>
          <cell r="E34">
            <v>116671</v>
          </cell>
          <cell r="F34">
            <v>40819</v>
          </cell>
        </row>
        <row r="35">
          <cell r="A35" t="str">
            <v>Commons-Email</v>
          </cell>
          <cell r="B35">
            <v>113</v>
          </cell>
          <cell r="C35">
            <v>150</v>
          </cell>
          <cell r="D35">
            <v>1498</v>
          </cell>
          <cell r="E35">
            <v>69235</v>
          </cell>
          <cell r="F35">
            <v>20855</v>
          </cell>
        </row>
        <row r="36">
          <cell r="A36" t="str">
            <v>Commons-Exec</v>
          </cell>
          <cell r="B36">
            <v>69</v>
          </cell>
          <cell r="C36">
            <v>87</v>
          </cell>
          <cell r="D36">
            <v>473</v>
          </cell>
          <cell r="E36">
            <v>56446</v>
          </cell>
          <cell r="F36">
            <v>8799</v>
          </cell>
        </row>
        <row r="37">
          <cell r="A37" t="str">
            <v>Commons-FileUpload</v>
          </cell>
          <cell r="B37">
            <v>95</v>
          </cell>
          <cell r="C37">
            <v>141</v>
          </cell>
          <cell r="D37">
            <v>1079</v>
          </cell>
          <cell r="E37">
            <v>63349</v>
          </cell>
          <cell r="F37">
            <v>15156</v>
          </cell>
        </row>
        <row r="38">
          <cell r="A38" t="str">
            <v>Commons-Functor</v>
          </cell>
          <cell r="B38">
            <v>396</v>
          </cell>
          <cell r="C38">
            <v>501</v>
          </cell>
          <cell r="D38">
            <v>2769</v>
          </cell>
          <cell r="E38">
            <v>94656</v>
          </cell>
          <cell r="F38">
            <v>43063</v>
          </cell>
        </row>
        <row r="39">
          <cell r="A39" t="str">
            <v>Commons-Geometry</v>
          </cell>
          <cell r="B39">
            <v>482</v>
          </cell>
          <cell r="C39">
            <v>935</v>
          </cell>
          <cell r="D39">
            <v>8058</v>
          </cell>
          <cell r="E39">
            <v>240115</v>
          </cell>
          <cell r="F39">
            <v>135362</v>
          </cell>
        </row>
        <row r="40">
          <cell r="A40" t="str">
            <v>Commons-Imaging</v>
          </cell>
          <cell r="B40">
            <v>626</v>
          </cell>
          <cell r="C40">
            <v>822</v>
          </cell>
          <cell r="D40">
            <v>4446</v>
          </cell>
          <cell r="E40">
            <v>817130</v>
          </cell>
          <cell r="F40">
            <v>71430</v>
          </cell>
        </row>
        <row r="41">
          <cell r="A41" t="str">
            <v>Commons-JCI</v>
          </cell>
          <cell r="B41">
            <v>78</v>
          </cell>
          <cell r="C41">
            <v>132</v>
          </cell>
          <cell r="D41">
            <v>553</v>
          </cell>
          <cell r="E41">
            <v>36059</v>
          </cell>
          <cell r="F41">
            <v>7676</v>
          </cell>
        </row>
        <row r="42">
          <cell r="A42" t="str">
            <v>Commons-JCS</v>
          </cell>
          <cell r="B42">
            <v>576</v>
          </cell>
          <cell r="C42">
            <v>762</v>
          </cell>
          <cell r="D42">
            <v>4403</v>
          </cell>
          <cell r="E42">
            <v>378657</v>
          </cell>
          <cell r="F42">
            <v>99192</v>
          </cell>
        </row>
        <row r="43">
          <cell r="A43" t="str">
            <v>Commons-JEXL</v>
          </cell>
          <cell r="B43">
            <v>223</v>
          </cell>
          <cell r="C43">
            <v>949</v>
          </cell>
          <cell r="D43">
            <v>4719</v>
          </cell>
          <cell r="E43">
            <v>162851</v>
          </cell>
          <cell r="F43">
            <v>64353</v>
          </cell>
        </row>
        <row r="44">
          <cell r="A44" t="str">
            <v>Commons-JXPath</v>
          </cell>
          <cell r="B44">
            <v>248</v>
          </cell>
          <cell r="C44">
            <v>397</v>
          </cell>
          <cell r="D44">
            <v>2856</v>
          </cell>
          <cell r="E44">
            <v>87274</v>
          </cell>
          <cell r="F44">
            <v>38561</v>
          </cell>
        </row>
        <row r="45">
          <cell r="A45" t="str">
            <v>Commons-Jelly</v>
          </cell>
          <cell r="B45">
            <v>595</v>
          </cell>
          <cell r="C45">
            <v>877</v>
          </cell>
          <cell r="D45">
            <v>4577</v>
          </cell>
          <cell r="E45">
            <v>176435</v>
          </cell>
          <cell r="F45">
            <v>62740</v>
          </cell>
        </row>
        <row r="46">
          <cell r="A46" t="str">
            <v>Commons-Lang</v>
          </cell>
          <cell r="B46">
            <v>526</v>
          </cell>
          <cell r="C46">
            <v>2223</v>
          </cell>
          <cell r="D46">
            <v>11872</v>
          </cell>
          <cell r="E46">
            <v>484169</v>
          </cell>
          <cell r="F46">
            <v>189295</v>
          </cell>
        </row>
        <row r="47">
          <cell r="A47" t="str">
            <v>Commons-Logging</v>
          </cell>
          <cell r="B47">
            <v>81</v>
          </cell>
          <cell r="C47">
            <v>801</v>
          </cell>
          <cell r="D47">
            <v>921</v>
          </cell>
          <cell r="E47">
            <v>54269</v>
          </cell>
          <cell r="F47">
            <v>14139</v>
          </cell>
        </row>
        <row r="48">
          <cell r="A48" t="str">
            <v>Commons-Math</v>
          </cell>
          <cell r="B48">
            <v>1087</v>
          </cell>
          <cell r="C48">
            <v>1875</v>
          </cell>
          <cell r="D48">
            <v>13944</v>
          </cell>
          <cell r="E48">
            <v>589857</v>
          </cell>
          <cell r="F48">
            <v>242767</v>
          </cell>
        </row>
        <row r="49">
          <cell r="A49" t="str">
            <v>Commons-Net</v>
          </cell>
          <cell r="B49">
            <v>314</v>
          </cell>
          <cell r="C49">
            <v>562</v>
          </cell>
          <cell r="D49">
            <v>3722</v>
          </cell>
          <cell r="E49">
            <v>175302</v>
          </cell>
          <cell r="F49">
            <v>57638</v>
          </cell>
        </row>
        <row r="50">
          <cell r="A50" t="str">
            <v>Commons-Numbers</v>
          </cell>
          <cell r="B50">
            <v>273</v>
          </cell>
          <cell r="C50">
            <v>631</v>
          </cell>
          <cell r="D50">
            <v>6596</v>
          </cell>
          <cell r="E50">
            <v>430858</v>
          </cell>
          <cell r="F50">
            <v>113968</v>
          </cell>
        </row>
        <row r="51">
          <cell r="A51" t="str">
            <v>Commons-OGNL</v>
          </cell>
          <cell r="B51">
            <v>305</v>
          </cell>
          <cell r="C51">
            <v>482</v>
          </cell>
          <cell r="D51">
            <v>1810</v>
          </cell>
          <cell r="E51">
            <v>63756</v>
          </cell>
          <cell r="F51">
            <v>34229</v>
          </cell>
        </row>
        <row r="52">
          <cell r="A52" t="str">
            <v>Commons-Pool</v>
          </cell>
          <cell r="B52">
            <v>125</v>
          </cell>
          <cell r="C52">
            <v>355</v>
          </cell>
          <cell r="D52">
            <v>1771</v>
          </cell>
          <cell r="E52">
            <v>121639</v>
          </cell>
          <cell r="F52">
            <v>30709</v>
          </cell>
        </row>
        <row r="53">
          <cell r="A53" t="str">
            <v>Commons-Proxy</v>
          </cell>
          <cell r="B53">
            <v>104</v>
          </cell>
          <cell r="C53">
            <v>256</v>
          </cell>
          <cell r="D53">
            <v>618</v>
          </cell>
          <cell r="E53">
            <v>28722</v>
          </cell>
          <cell r="F53">
            <v>10560</v>
          </cell>
        </row>
        <row r="54">
          <cell r="A54" t="str">
            <v>Commons-RDF</v>
          </cell>
          <cell r="B54">
            <v>167</v>
          </cell>
          <cell r="C54">
            <v>227</v>
          </cell>
          <cell r="D54">
            <v>1524</v>
          </cell>
          <cell r="E54">
            <v>64590</v>
          </cell>
          <cell r="F54">
            <v>20047</v>
          </cell>
        </row>
        <row r="55">
          <cell r="A55" t="str">
            <v>Commons-RNG</v>
          </cell>
          <cell r="B55">
            <v>424</v>
          </cell>
          <cell r="C55">
            <v>1063</v>
          </cell>
          <cell r="D55">
            <v>6021</v>
          </cell>
          <cell r="E55">
            <v>1310776</v>
          </cell>
          <cell r="F55">
            <v>98725</v>
          </cell>
        </row>
        <row r="56">
          <cell r="A56" t="str">
            <v>Commons-SCXML</v>
          </cell>
          <cell r="B56">
            <v>185</v>
          </cell>
          <cell r="C56">
            <v>292</v>
          </cell>
          <cell r="D56">
            <v>1842</v>
          </cell>
          <cell r="E56">
            <v>88780</v>
          </cell>
          <cell r="F56">
            <v>27641</v>
          </cell>
        </row>
        <row r="57">
          <cell r="A57" t="str">
            <v>Commons-Statistics</v>
          </cell>
          <cell r="B57">
            <v>347</v>
          </cell>
          <cell r="C57">
            <v>1062</v>
          </cell>
          <cell r="D57">
            <v>5202</v>
          </cell>
          <cell r="E57">
            <v>178467</v>
          </cell>
          <cell r="F57">
            <v>85042</v>
          </cell>
        </row>
        <row r="58">
          <cell r="A58" t="str">
            <v>Commons-VFS</v>
          </cell>
          <cell r="B58">
            <v>590</v>
          </cell>
          <cell r="C58">
            <v>765</v>
          </cell>
          <cell r="D58">
            <v>5182</v>
          </cell>
          <cell r="E58">
            <v>225811</v>
          </cell>
          <cell r="F58">
            <v>78260</v>
          </cell>
        </row>
        <row r="59">
          <cell r="A59" t="str">
            <v>Commons-Validator</v>
          </cell>
          <cell r="B59">
            <v>163</v>
          </cell>
          <cell r="C59">
            <v>281</v>
          </cell>
          <cell r="D59">
            <v>2068</v>
          </cell>
          <cell r="E59">
            <v>139911</v>
          </cell>
          <cell r="F59">
            <v>35337</v>
          </cell>
        </row>
        <row r="60">
          <cell r="A60" t="str">
            <v>Commons-Weaver</v>
          </cell>
          <cell r="B60">
            <v>115</v>
          </cell>
          <cell r="C60">
            <v>192</v>
          </cell>
          <cell r="D60">
            <v>599</v>
          </cell>
          <cell r="E60">
            <v>34929</v>
          </cell>
          <cell r="F60">
            <v>10627</v>
          </cell>
        </row>
        <row r="61">
          <cell r="A61" t="str">
            <v>Compress-Ant-Library</v>
          </cell>
          <cell r="B61">
            <v>104</v>
          </cell>
          <cell r="C61">
            <v>128</v>
          </cell>
          <cell r="D61">
            <v>723</v>
          </cell>
          <cell r="E61">
            <v>39875</v>
          </cell>
          <cell r="F61">
            <v>9858</v>
          </cell>
        </row>
        <row r="62">
          <cell r="A62" t="str">
            <v>Cordova</v>
          </cell>
          <cell r="B62">
            <v>0</v>
          </cell>
          <cell r="C62">
            <v>0</v>
          </cell>
          <cell r="D62">
            <v>0</v>
          </cell>
          <cell r="E62">
            <v>59797</v>
          </cell>
          <cell r="F62">
            <v>0</v>
          </cell>
        </row>
        <row r="63">
          <cell r="A63" t="str">
            <v>Curator</v>
          </cell>
          <cell r="B63">
            <v>708</v>
          </cell>
          <cell r="C63">
            <v>864</v>
          </cell>
          <cell r="D63">
            <v>5544</v>
          </cell>
          <cell r="E63">
            <v>205623</v>
          </cell>
          <cell r="F63">
            <v>90335</v>
          </cell>
        </row>
        <row r="64">
          <cell r="A64" t="str">
            <v>Daffodil</v>
          </cell>
          <cell r="B64">
            <v>107</v>
          </cell>
          <cell r="C64">
            <v>155</v>
          </cell>
          <cell r="D64">
            <v>402</v>
          </cell>
          <cell r="E64">
            <v>1949104</v>
          </cell>
          <cell r="F64">
            <v>8768</v>
          </cell>
        </row>
        <row r="65">
          <cell r="A65" t="str">
            <v>DataFu</v>
          </cell>
          <cell r="B65">
            <v>261</v>
          </cell>
          <cell r="C65">
            <v>384</v>
          </cell>
          <cell r="D65">
            <v>2680</v>
          </cell>
          <cell r="E65">
            <v>315051</v>
          </cell>
          <cell r="F65">
            <v>44919</v>
          </cell>
        </row>
        <row r="66">
          <cell r="A66" t="str">
            <v>DeltaSpike</v>
          </cell>
          <cell r="B66">
            <v>1713</v>
          </cell>
          <cell r="C66">
            <v>2374</v>
          </cell>
          <cell r="D66">
            <v>7429</v>
          </cell>
          <cell r="E66">
            <v>275776</v>
          </cell>
          <cell r="F66">
            <v>139400</v>
          </cell>
        </row>
        <row r="67">
          <cell r="A67" t="str">
            <v>Derby</v>
          </cell>
          <cell r="B67">
            <v>2864</v>
          </cell>
          <cell r="C67">
            <v>6751</v>
          </cell>
          <cell r="D67">
            <v>68084</v>
          </cell>
          <cell r="E67">
            <v>2540162</v>
          </cell>
          <cell r="F67">
            <v>1240108</v>
          </cell>
        </row>
        <row r="68">
          <cell r="A68" t="str">
            <v>DirectMemory</v>
          </cell>
          <cell r="B68">
            <v>169</v>
          </cell>
          <cell r="C68">
            <v>179</v>
          </cell>
          <cell r="D68">
            <v>1279</v>
          </cell>
          <cell r="E68">
            <v>86280</v>
          </cell>
          <cell r="F68">
            <v>20515</v>
          </cell>
        </row>
        <row r="69">
          <cell r="A69" t="str">
            <v>Directory</v>
          </cell>
          <cell r="B69">
            <v>1512</v>
          </cell>
          <cell r="C69">
            <v>2173</v>
          </cell>
          <cell r="D69">
            <v>16674</v>
          </cell>
          <cell r="E69">
            <v>907688</v>
          </cell>
          <cell r="F69">
            <v>377894</v>
          </cell>
        </row>
        <row r="70">
          <cell r="A70" t="str">
            <v>Directory-Server</v>
          </cell>
          <cell r="B70">
            <v>1273</v>
          </cell>
          <cell r="C70">
            <v>1662</v>
          </cell>
          <cell r="D70">
            <v>14508</v>
          </cell>
          <cell r="E70">
            <v>1761251</v>
          </cell>
          <cell r="F70">
            <v>318670</v>
          </cell>
        </row>
        <row r="71">
          <cell r="A71" t="str">
            <v>Directory-Studio</v>
          </cell>
          <cell r="B71">
            <v>1853</v>
          </cell>
          <cell r="C71">
            <v>3257</v>
          </cell>
          <cell r="D71">
            <v>18849</v>
          </cell>
          <cell r="E71">
            <v>5625360</v>
          </cell>
          <cell r="F71">
            <v>398105</v>
          </cell>
        </row>
        <row r="72">
          <cell r="A72" t="str">
            <v>Doris</v>
          </cell>
          <cell r="B72">
            <v>6097</v>
          </cell>
          <cell r="C72">
            <v>8384</v>
          </cell>
          <cell r="D72">
            <v>75547</v>
          </cell>
          <cell r="E72">
            <v>17517094</v>
          </cell>
          <cell r="F72">
            <v>1080149</v>
          </cell>
        </row>
        <row r="73">
          <cell r="A73" t="str">
            <v>Drill</v>
          </cell>
          <cell r="B73">
            <v>4687</v>
          </cell>
          <cell r="C73">
            <v>9399</v>
          </cell>
          <cell r="D73">
            <v>63594</v>
          </cell>
          <cell r="E73">
            <v>2106259</v>
          </cell>
          <cell r="F73">
            <v>950572</v>
          </cell>
        </row>
        <row r="74">
          <cell r="A74" t="str">
            <v>Dubbo</v>
          </cell>
          <cell r="B74">
            <v>4014</v>
          </cell>
          <cell r="C74">
            <v>5412</v>
          </cell>
          <cell r="D74">
            <v>32369</v>
          </cell>
          <cell r="E74">
            <v>1076503</v>
          </cell>
          <cell r="F74">
            <v>474116</v>
          </cell>
        </row>
        <row r="75">
          <cell r="A75" t="str">
            <v>Empire-db</v>
          </cell>
          <cell r="B75">
            <v>466</v>
          </cell>
          <cell r="C75">
            <v>1129</v>
          </cell>
          <cell r="D75">
            <v>9243</v>
          </cell>
          <cell r="E75">
            <v>275680</v>
          </cell>
          <cell r="F75">
            <v>109035</v>
          </cell>
        </row>
        <row r="76">
          <cell r="A76" t="str">
            <v>Etch</v>
          </cell>
          <cell r="B76">
            <v>422</v>
          </cell>
          <cell r="C76">
            <v>742</v>
          </cell>
          <cell r="D76">
            <v>6936</v>
          </cell>
          <cell r="E76">
            <v>385201</v>
          </cell>
          <cell r="F76">
            <v>95824</v>
          </cell>
        </row>
        <row r="77">
          <cell r="A77" t="str">
            <v>FOP</v>
          </cell>
          <cell r="B77">
            <v>2087</v>
          </cell>
          <cell r="C77">
            <v>4072</v>
          </cell>
          <cell r="D77">
            <v>25771</v>
          </cell>
          <cell r="E77">
            <v>4555749</v>
          </cell>
          <cell r="F77">
            <v>382850</v>
          </cell>
        </row>
        <row r="78">
          <cell r="A78" t="str">
            <v>Felix</v>
          </cell>
          <cell r="B78">
            <v>0</v>
          </cell>
          <cell r="C78">
            <v>0</v>
          </cell>
          <cell r="D78">
            <v>0</v>
          </cell>
          <cell r="E78">
            <v>861432</v>
          </cell>
          <cell r="F78">
            <v>0</v>
          </cell>
        </row>
        <row r="79">
          <cell r="A79" t="str">
            <v>Fluo</v>
          </cell>
          <cell r="B79">
            <v>293</v>
          </cell>
          <cell r="C79">
            <v>502</v>
          </cell>
          <cell r="D79">
            <v>2793</v>
          </cell>
          <cell r="E79">
            <v>97785</v>
          </cell>
          <cell r="F79">
            <v>42659</v>
          </cell>
        </row>
        <row r="80">
          <cell r="A80" t="str">
            <v>Fluo-Recipes</v>
          </cell>
          <cell r="B80">
            <v>96</v>
          </cell>
          <cell r="C80">
            <v>192</v>
          </cell>
          <cell r="D80">
            <v>750</v>
          </cell>
          <cell r="E80">
            <v>22593</v>
          </cell>
          <cell r="F80">
            <v>11887</v>
          </cell>
        </row>
        <row r="81">
          <cell r="A81" t="str">
            <v>Fluo-YARN</v>
          </cell>
          <cell r="B81">
            <v>3</v>
          </cell>
          <cell r="C81">
            <v>4</v>
          </cell>
          <cell r="D81">
            <v>30</v>
          </cell>
          <cell r="E81">
            <v>3402</v>
          </cell>
          <cell r="F81">
            <v>399</v>
          </cell>
        </row>
        <row r="82">
          <cell r="A82" t="str">
            <v>Forrest</v>
          </cell>
          <cell r="B82">
            <v>252</v>
          </cell>
          <cell r="C82">
            <v>323</v>
          </cell>
          <cell r="D82">
            <v>1850</v>
          </cell>
          <cell r="E82">
            <v>4442668</v>
          </cell>
          <cell r="F82">
            <v>32491</v>
          </cell>
        </row>
        <row r="83">
          <cell r="A83" t="str">
            <v>Fortress</v>
          </cell>
          <cell r="B83">
            <v>334</v>
          </cell>
          <cell r="C83">
            <v>977</v>
          </cell>
          <cell r="D83">
            <v>4761</v>
          </cell>
          <cell r="E83">
            <v>290822</v>
          </cell>
          <cell r="F83">
            <v>126707</v>
          </cell>
        </row>
        <row r="84">
          <cell r="A84" t="str">
            <v>FreeMarker</v>
          </cell>
          <cell r="B84">
            <v>912</v>
          </cell>
          <cell r="C84">
            <v>2044</v>
          </cell>
          <cell r="D84">
            <v>11469</v>
          </cell>
          <cell r="E84">
            <v>434023</v>
          </cell>
          <cell r="F84">
            <v>152158</v>
          </cell>
        </row>
        <row r="85">
          <cell r="A85" t="str">
            <v>FtpServer</v>
          </cell>
          <cell r="B85">
            <v>333</v>
          </cell>
          <cell r="C85">
            <v>364</v>
          </cell>
          <cell r="D85">
            <v>2626</v>
          </cell>
          <cell r="E85">
            <v>112324</v>
          </cell>
          <cell r="F85">
            <v>42024</v>
          </cell>
        </row>
        <row r="86">
          <cell r="A86" t="str">
            <v>Geronimo</v>
          </cell>
          <cell r="B86">
            <v>3516</v>
          </cell>
          <cell r="C86">
            <v>4837</v>
          </cell>
          <cell r="D86">
            <v>31355</v>
          </cell>
          <cell r="E86">
            <v>2186709</v>
          </cell>
          <cell r="F86">
            <v>426910</v>
          </cell>
        </row>
        <row r="87">
          <cell r="A87" t="str">
            <v>Gora</v>
          </cell>
          <cell r="B87">
            <v>657</v>
          </cell>
          <cell r="C87">
            <v>1015</v>
          </cell>
          <cell r="D87">
            <v>5602</v>
          </cell>
          <cell r="E87">
            <v>219604</v>
          </cell>
          <cell r="F87">
            <v>88058</v>
          </cell>
        </row>
        <row r="88">
          <cell r="A88" t="str">
            <v>Groovy</v>
          </cell>
          <cell r="B88">
            <v>1806</v>
          </cell>
          <cell r="C88">
            <v>4703</v>
          </cell>
          <cell r="D88">
            <v>25524</v>
          </cell>
          <cell r="E88">
            <v>2843304</v>
          </cell>
          <cell r="F88">
            <v>358534</v>
          </cell>
        </row>
        <row r="89">
          <cell r="A89" t="str">
            <v>Guacamole</v>
          </cell>
          <cell r="B89">
            <v>841</v>
          </cell>
          <cell r="C89">
            <v>1020</v>
          </cell>
          <cell r="D89">
            <v>6254</v>
          </cell>
          <cell r="E89">
            <v>507722</v>
          </cell>
          <cell r="F89">
            <v>112519</v>
          </cell>
        </row>
        <row r="90">
          <cell r="A90" t="str">
            <v>Hama</v>
          </cell>
          <cell r="B90">
            <v>427</v>
          </cell>
          <cell r="C90">
            <v>877</v>
          </cell>
          <cell r="D90">
            <v>5081</v>
          </cell>
          <cell r="E90">
            <v>576826</v>
          </cell>
          <cell r="F90">
            <v>76157</v>
          </cell>
        </row>
        <row r="91">
          <cell r="A91" t="str">
            <v>Harmony</v>
          </cell>
          <cell r="B91">
            <v>7607</v>
          </cell>
          <cell r="C91">
            <v>17829</v>
          </cell>
          <cell r="D91">
            <v>120134</v>
          </cell>
          <cell r="E91">
            <v>3062851</v>
          </cell>
          <cell r="F91">
            <v>1791815</v>
          </cell>
        </row>
        <row r="92">
          <cell r="A92" t="str">
            <v>Ivy</v>
          </cell>
          <cell r="B92">
            <v>667</v>
          </cell>
          <cell r="C92">
            <v>963</v>
          </cell>
          <cell r="D92">
            <v>8922</v>
          </cell>
          <cell r="E92">
            <v>546994</v>
          </cell>
          <cell r="F92">
            <v>119722</v>
          </cell>
        </row>
        <row r="93">
          <cell r="A93" t="str">
            <v>IvyDE</v>
          </cell>
          <cell r="B93">
            <v>210</v>
          </cell>
          <cell r="C93">
            <v>256</v>
          </cell>
          <cell r="D93">
            <v>1746</v>
          </cell>
          <cell r="E93">
            <v>175759</v>
          </cell>
          <cell r="F93">
            <v>25925</v>
          </cell>
        </row>
        <row r="94">
          <cell r="A94" t="str">
            <v>JAMES</v>
          </cell>
          <cell r="B94">
            <v>6056</v>
          </cell>
          <cell r="C94">
            <v>8622</v>
          </cell>
          <cell r="D94">
            <v>53340</v>
          </cell>
          <cell r="E94">
            <v>2861035</v>
          </cell>
          <cell r="F94">
            <v>757002</v>
          </cell>
        </row>
        <row r="95">
          <cell r="A95" t="str">
            <v>JDO</v>
          </cell>
          <cell r="B95">
            <v>1080</v>
          </cell>
          <cell r="C95">
            <v>2465</v>
          </cell>
          <cell r="D95">
            <v>9646</v>
          </cell>
          <cell r="E95">
            <v>1223230</v>
          </cell>
          <cell r="F95">
            <v>223788</v>
          </cell>
        </row>
        <row r="96">
          <cell r="A96" t="str">
            <v>JMeter</v>
          </cell>
          <cell r="B96">
            <v>1395</v>
          </cell>
          <cell r="C96">
            <v>2348</v>
          </cell>
          <cell r="D96">
            <v>15833</v>
          </cell>
          <cell r="E96">
            <v>1758284</v>
          </cell>
          <cell r="F96">
            <v>245433</v>
          </cell>
        </row>
        <row r="97">
          <cell r="A97" t="str">
            <v>Karaf</v>
          </cell>
          <cell r="B97">
            <v>1630</v>
          </cell>
          <cell r="C97">
            <v>2073</v>
          </cell>
          <cell r="D97">
            <v>12403</v>
          </cell>
          <cell r="E97">
            <v>973690</v>
          </cell>
          <cell r="F97">
            <v>195444</v>
          </cell>
        </row>
        <row r="98">
          <cell r="A98" t="str">
            <v>Kerby</v>
          </cell>
          <cell r="B98">
            <v>951</v>
          </cell>
          <cell r="C98">
            <v>1235</v>
          </cell>
          <cell r="D98">
            <v>7233</v>
          </cell>
          <cell r="E98">
            <v>484968</v>
          </cell>
          <cell r="F98">
            <v>97974</v>
          </cell>
        </row>
        <row r="99">
          <cell r="A99" t="str">
            <v>Knox</v>
          </cell>
          <cell r="B99">
            <v>1685</v>
          </cell>
          <cell r="C99">
            <v>2256</v>
          </cell>
          <cell r="D99">
            <v>14235</v>
          </cell>
          <cell r="E99">
            <v>767957</v>
          </cell>
          <cell r="F99">
            <v>231444</v>
          </cell>
        </row>
        <row r="100">
          <cell r="A100" t="str">
            <v>Lenya</v>
          </cell>
          <cell r="B100">
            <v>667</v>
          </cell>
          <cell r="C100">
            <v>806</v>
          </cell>
          <cell r="D100">
            <v>5785</v>
          </cell>
          <cell r="E100">
            <v>1494679</v>
          </cell>
          <cell r="F100">
            <v>86413</v>
          </cell>
        </row>
        <row r="101">
          <cell r="A101" t="str">
            <v>Lingo</v>
          </cell>
          <cell r="B101">
            <v>1860</v>
          </cell>
          <cell r="C101">
            <v>2488</v>
          </cell>
          <cell r="D101">
            <v>16408</v>
          </cell>
          <cell r="E101">
            <v>840058</v>
          </cell>
          <cell r="F101">
            <v>282861</v>
          </cell>
        </row>
        <row r="102">
          <cell r="A102" t="str">
            <v>Log4j</v>
          </cell>
          <cell r="B102">
            <v>2563</v>
          </cell>
          <cell r="C102">
            <v>4524</v>
          </cell>
          <cell r="D102">
            <v>21992</v>
          </cell>
          <cell r="E102">
            <v>1693306</v>
          </cell>
          <cell r="F102">
            <v>344976</v>
          </cell>
        </row>
        <row r="103">
          <cell r="A103" t="str">
            <v>Lucene-Core</v>
          </cell>
          <cell r="B103">
            <v>5948</v>
          </cell>
          <cell r="C103">
            <v>9876</v>
          </cell>
          <cell r="D103">
            <v>81108</v>
          </cell>
          <cell r="E103">
            <v>7660138</v>
          </cell>
          <cell r="F103">
            <v>1326911</v>
          </cell>
        </row>
        <row r="104">
          <cell r="A104" t="str">
            <v>MRUnit</v>
          </cell>
          <cell r="B104">
            <v>79</v>
          </cell>
          <cell r="C104">
            <v>174</v>
          </cell>
          <cell r="D104">
            <v>1193</v>
          </cell>
          <cell r="E104">
            <v>29765</v>
          </cell>
          <cell r="F104">
            <v>16609</v>
          </cell>
        </row>
        <row r="105">
          <cell r="A105" t="str">
            <v>Mahout</v>
          </cell>
          <cell r="B105">
            <v>0</v>
          </cell>
          <cell r="C105">
            <v>0</v>
          </cell>
          <cell r="D105">
            <v>0</v>
          </cell>
          <cell r="E105">
            <v>663255</v>
          </cell>
          <cell r="F105">
            <v>0</v>
          </cell>
        </row>
        <row r="106">
          <cell r="A106" t="str">
            <v>Marmotta</v>
          </cell>
          <cell r="B106">
            <v>1544</v>
          </cell>
          <cell r="C106">
            <v>2029</v>
          </cell>
          <cell r="D106">
            <v>13666</v>
          </cell>
          <cell r="E106">
            <v>755908</v>
          </cell>
          <cell r="F106">
            <v>234344</v>
          </cell>
        </row>
        <row r="107">
          <cell r="A107" t="str">
            <v>Maven-Doxia</v>
          </cell>
          <cell r="B107">
            <v>155</v>
          </cell>
          <cell r="C107">
            <v>361</v>
          </cell>
          <cell r="D107">
            <v>2664</v>
          </cell>
          <cell r="E107">
            <v>148183</v>
          </cell>
          <cell r="F107">
            <v>39163</v>
          </cell>
        </row>
        <row r="108">
          <cell r="A108" t="str">
            <v>MetaModel</v>
          </cell>
          <cell r="B108">
            <v>813</v>
          </cell>
          <cell r="C108">
            <v>910</v>
          </cell>
          <cell r="D108">
            <v>7158</v>
          </cell>
          <cell r="E108">
            <v>216435</v>
          </cell>
          <cell r="F108">
            <v>99991</v>
          </cell>
        </row>
        <row r="109">
          <cell r="A109" t="str">
            <v>NetBeans</v>
          </cell>
          <cell r="B109">
            <v>39141</v>
          </cell>
          <cell r="C109">
            <v>89658</v>
          </cell>
          <cell r="D109">
            <v>532283</v>
          </cell>
          <cell r="E109">
            <v>26593913</v>
          </cell>
          <cell r="F109">
            <v>7941930</v>
          </cell>
        </row>
        <row r="110">
          <cell r="A110" t="str">
            <v>Nutch</v>
          </cell>
          <cell r="B110">
            <v>605</v>
          </cell>
          <cell r="C110">
            <v>825</v>
          </cell>
          <cell r="D110">
            <v>4991</v>
          </cell>
          <cell r="E110">
            <v>1241938</v>
          </cell>
          <cell r="F110">
            <v>96927</v>
          </cell>
        </row>
        <row r="111">
          <cell r="A111" t="str">
            <v>ODE</v>
          </cell>
          <cell r="B111">
            <v>1237</v>
          </cell>
          <cell r="C111">
            <v>1772</v>
          </cell>
          <cell r="D111">
            <v>11469</v>
          </cell>
          <cell r="E111">
            <v>612861</v>
          </cell>
          <cell r="F111">
            <v>152387</v>
          </cell>
        </row>
        <row r="112">
          <cell r="A112" t="str">
            <v>OFBiz</v>
          </cell>
          <cell r="B112">
            <v>1149</v>
          </cell>
          <cell r="C112">
            <v>2205</v>
          </cell>
          <cell r="D112">
            <v>19300</v>
          </cell>
          <cell r="E112">
            <v>7240057</v>
          </cell>
          <cell r="F112">
            <v>368106</v>
          </cell>
        </row>
        <row r="113">
          <cell r="A113" t="str">
            <v>Oltu-Parent</v>
          </cell>
          <cell r="B113">
            <v>247</v>
          </cell>
          <cell r="C113">
            <v>267</v>
          </cell>
          <cell r="D113">
            <v>1317</v>
          </cell>
          <cell r="E113">
            <v>51094</v>
          </cell>
          <cell r="F113">
            <v>21875</v>
          </cell>
        </row>
        <row r="114">
          <cell r="A114" t="str">
            <v>OpenJPA</v>
          </cell>
          <cell r="B114">
            <v>4754</v>
          </cell>
          <cell r="C114">
            <v>7350</v>
          </cell>
          <cell r="D114">
            <v>54431</v>
          </cell>
          <cell r="E114">
            <v>1278552</v>
          </cell>
          <cell r="F114">
            <v>749842</v>
          </cell>
        </row>
        <row r="115">
          <cell r="A115" t="str">
            <v>OpenNLP</v>
          </cell>
          <cell r="B115">
            <v>1174</v>
          </cell>
          <cell r="C115">
            <v>1615</v>
          </cell>
          <cell r="D115">
            <v>7561</v>
          </cell>
          <cell r="E115">
            <v>551244</v>
          </cell>
          <cell r="F115">
            <v>146241</v>
          </cell>
        </row>
        <row r="116">
          <cell r="A116" t="str">
            <v>OpenWebBeans</v>
          </cell>
          <cell r="B116">
            <v>1564</v>
          </cell>
          <cell r="C116">
            <v>2381</v>
          </cell>
          <cell r="D116">
            <v>8153</v>
          </cell>
          <cell r="E116">
            <v>393681</v>
          </cell>
          <cell r="F116">
            <v>140545</v>
          </cell>
        </row>
        <row r="117">
          <cell r="A117" t="str">
            <v>PDFBox</v>
          </cell>
          <cell r="B117">
            <v>1281</v>
          </cell>
          <cell r="C117">
            <v>1924</v>
          </cell>
          <cell r="D117">
            <v>15178</v>
          </cell>
          <cell r="E117">
            <v>1727481</v>
          </cell>
          <cell r="F117">
            <v>272291</v>
          </cell>
        </row>
        <row r="118">
          <cell r="A118" t="str">
            <v>POI</v>
          </cell>
          <cell r="B118">
            <v>3753</v>
          </cell>
          <cell r="C118">
            <v>5417</v>
          </cell>
          <cell r="D118">
            <v>50596</v>
          </cell>
          <cell r="E118">
            <v>4982056</v>
          </cell>
          <cell r="F118">
            <v>718233</v>
          </cell>
        </row>
        <row r="119">
          <cell r="A119" t="str">
            <v>Parquet</v>
          </cell>
          <cell r="B119">
            <v>874</v>
          </cell>
          <cell r="C119">
            <v>2114</v>
          </cell>
          <cell r="D119">
            <v>14341</v>
          </cell>
          <cell r="E119">
            <v>355095</v>
          </cell>
          <cell r="F119">
            <v>193550</v>
          </cell>
        </row>
        <row r="120">
          <cell r="A120" t="str">
            <v>Pivot</v>
          </cell>
          <cell r="B120">
            <v>934</v>
          </cell>
          <cell r="C120">
            <v>2044</v>
          </cell>
          <cell r="D120">
            <v>14329</v>
          </cell>
          <cell r="E120">
            <v>611412</v>
          </cell>
          <cell r="F120">
            <v>176879</v>
          </cell>
        </row>
        <row r="121">
          <cell r="A121" t="str">
            <v>Polygene</v>
          </cell>
          <cell r="B121">
            <v>2795</v>
          </cell>
          <cell r="C121">
            <v>5016</v>
          </cell>
          <cell r="D121">
            <v>14436</v>
          </cell>
          <cell r="E121">
            <v>684805</v>
          </cell>
          <cell r="F121">
            <v>264333</v>
          </cell>
        </row>
        <row r="122">
          <cell r="A122" t="str">
            <v>Portals</v>
          </cell>
          <cell r="B122">
            <v>1634</v>
          </cell>
          <cell r="C122">
            <v>2110</v>
          </cell>
          <cell r="D122">
            <v>14491</v>
          </cell>
          <cell r="E122">
            <v>732592</v>
          </cell>
          <cell r="F122">
            <v>335259</v>
          </cell>
        </row>
        <row r="123">
          <cell r="A123" t="str">
            <v>Props-Ant-Library</v>
          </cell>
          <cell r="B123">
            <v>23</v>
          </cell>
          <cell r="C123">
            <v>27</v>
          </cell>
          <cell r="D123">
            <v>86</v>
          </cell>
          <cell r="E123">
            <v>4731</v>
          </cell>
          <cell r="F123">
            <v>1652</v>
          </cell>
        </row>
        <row r="124">
          <cell r="A124" t="str">
            <v>Qpid</v>
          </cell>
          <cell r="B124">
            <v>3071</v>
          </cell>
          <cell r="C124">
            <v>4003</v>
          </cell>
          <cell r="D124">
            <v>32959</v>
          </cell>
          <cell r="E124">
            <v>1917576</v>
          </cell>
          <cell r="F124">
            <v>536163</v>
          </cell>
        </row>
        <row r="125">
          <cell r="A125" t="str">
            <v>Rat</v>
          </cell>
          <cell r="B125">
            <v>320</v>
          </cell>
          <cell r="C125">
            <v>476</v>
          </cell>
          <cell r="D125">
            <v>2599</v>
          </cell>
          <cell r="E125">
            <v>331956</v>
          </cell>
          <cell r="F125">
            <v>43654</v>
          </cell>
        </row>
        <row r="126">
          <cell r="A126" t="str">
            <v>SSHD</v>
          </cell>
          <cell r="B126">
            <v>1408</v>
          </cell>
          <cell r="C126">
            <v>1773</v>
          </cell>
          <cell r="D126">
            <v>14810</v>
          </cell>
          <cell r="E126">
            <v>458649</v>
          </cell>
          <cell r="F126">
            <v>221876</v>
          </cell>
        </row>
        <row r="127">
          <cell r="A127" t="str">
            <v>Santuario</v>
          </cell>
          <cell r="B127">
            <v>598</v>
          </cell>
          <cell r="C127">
            <v>862</v>
          </cell>
          <cell r="D127">
            <v>6808</v>
          </cell>
          <cell r="E127">
            <v>516329</v>
          </cell>
          <cell r="F127">
            <v>124335</v>
          </cell>
        </row>
        <row r="128">
          <cell r="A128" t="str">
            <v>ServiceMix</v>
          </cell>
          <cell r="B128">
            <v>129</v>
          </cell>
          <cell r="C128">
            <v>144</v>
          </cell>
          <cell r="D128">
            <v>573</v>
          </cell>
          <cell r="E128">
            <v>85828</v>
          </cell>
          <cell r="F128">
            <v>8029</v>
          </cell>
        </row>
        <row r="129">
          <cell r="A129" t="str">
            <v>Shindig</v>
          </cell>
          <cell r="B129">
            <v>1019</v>
          </cell>
          <cell r="C129">
            <v>1675</v>
          </cell>
          <cell r="D129">
            <v>11204</v>
          </cell>
          <cell r="E129">
            <v>493998</v>
          </cell>
          <cell r="F129">
            <v>167224</v>
          </cell>
        </row>
        <row r="130">
          <cell r="A130" t="str">
            <v>Sling</v>
          </cell>
          <cell r="B130">
            <v>0</v>
          </cell>
          <cell r="C130">
            <v>0</v>
          </cell>
          <cell r="D130">
            <v>0</v>
          </cell>
          <cell r="E130">
            <v>8482</v>
          </cell>
          <cell r="F130">
            <v>0</v>
          </cell>
        </row>
        <row r="131">
          <cell r="A131" t="str">
            <v>Spatial-Information-System</v>
          </cell>
          <cell r="B131">
            <v>3428</v>
          </cell>
          <cell r="C131">
            <v>8562</v>
          </cell>
          <cell r="D131">
            <v>49996</v>
          </cell>
          <cell r="E131">
            <v>1693551</v>
          </cell>
          <cell r="F131">
            <v>861293</v>
          </cell>
        </row>
        <row r="132">
          <cell r="A132" t="str">
            <v>Stanbol</v>
          </cell>
          <cell r="B132">
            <v>1661</v>
          </cell>
          <cell r="C132">
            <v>2360</v>
          </cell>
          <cell r="D132">
            <v>16583</v>
          </cell>
          <cell r="E132">
            <v>1389214</v>
          </cell>
          <cell r="F132">
            <v>274209</v>
          </cell>
        </row>
        <row r="133">
          <cell r="A133" t="str">
            <v>Stratos</v>
          </cell>
          <cell r="B133">
            <v>1438</v>
          </cell>
          <cell r="C133">
            <v>1679</v>
          </cell>
          <cell r="D133">
            <v>13017</v>
          </cell>
          <cell r="E133">
            <v>1693800</v>
          </cell>
          <cell r="F133">
            <v>189727</v>
          </cell>
        </row>
        <row r="134">
          <cell r="A134" t="str">
            <v>Synapse</v>
          </cell>
          <cell r="B134">
            <v>1297</v>
          </cell>
          <cell r="C134">
            <v>1739</v>
          </cell>
          <cell r="D134">
            <v>10721</v>
          </cell>
          <cell r="E134">
            <v>935628</v>
          </cell>
          <cell r="F134">
            <v>178455</v>
          </cell>
        </row>
        <row r="135">
          <cell r="A135" t="str">
            <v>Tajo</v>
          </cell>
          <cell r="B135">
            <v>1860</v>
          </cell>
          <cell r="C135">
            <v>3057</v>
          </cell>
          <cell r="D135">
            <v>22833</v>
          </cell>
          <cell r="E135">
            <v>741272</v>
          </cell>
          <cell r="F135">
            <v>334911</v>
          </cell>
        </row>
        <row r="136">
          <cell r="A136" t="str">
            <v>Tapestry</v>
          </cell>
          <cell r="B136">
            <v>3408</v>
          </cell>
          <cell r="C136">
            <v>5292</v>
          </cell>
          <cell r="D136">
            <v>17366</v>
          </cell>
          <cell r="E136">
            <v>1256345</v>
          </cell>
          <cell r="F136">
            <v>328280</v>
          </cell>
        </row>
        <row r="137">
          <cell r="A137" t="str">
            <v>Tentacles</v>
          </cell>
          <cell r="B137">
            <v>32</v>
          </cell>
          <cell r="C137">
            <v>33</v>
          </cell>
          <cell r="D137">
            <v>211</v>
          </cell>
          <cell r="E137">
            <v>38521</v>
          </cell>
          <cell r="F137">
            <v>2608</v>
          </cell>
        </row>
        <row r="138">
          <cell r="A138" t="str">
            <v>Thrift</v>
          </cell>
          <cell r="B138">
            <v>293</v>
          </cell>
          <cell r="C138">
            <v>513</v>
          </cell>
          <cell r="D138">
            <v>3278</v>
          </cell>
          <cell r="E138">
            <v>827438</v>
          </cell>
          <cell r="F138">
            <v>43076</v>
          </cell>
        </row>
        <row r="139">
          <cell r="A139" t="str">
            <v>Tiles</v>
          </cell>
          <cell r="B139">
            <v>291</v>
          </cell>
          <cell r="C139">
            <v>335</v>
          </cell>
          <cell r="D139">
            <v>1530</v>
          </cell>
          <cell r="E139">
            <v>186869</v>
          </cell>
          <cell r="F139">
            <v>33931</v>
          </cell>
        </row>
        <row r="140">
          <cell r="A140" t="str">
            <v>Tobago</v>
          </cell>
          <cell r="B140">
            <v>897</v>
          </cell>
          <cell r="C140">
            <v>1020</v>
          </cell>
          <cell r="D140">
            <v>5473</v>
          </cell>
          <cell r="E140">
            <v>1471190</v>
          </cell>
          <cell r="F140">
            <v>89442</v>
          </cell>
        </row>
        <row r="141">
          <cell r="A141" t="str">
            <v>Tomcat</v>
          </cell>
          <cell r="B141">
            <v>2748</v>
          </cell>
          <cell r="C141">
            <v>6448</v>
          </cell>
          <cell r="D141">
            <v>40678</v>
          </cell>
          <cell r="E141">
            <v>2656480</v>
          </cell>
          <cell r="F141">
            <v>623042</v>
          </cell>
        </row>
        <row r="142">
          <cell r="A142" t="str">
            <v>Turbine</v>
          </cell>
          <cell r="B142">
            <v>434</v>
          </cell>
          <cell r="C142">
            <v>857</v>
          </cell>
          <cell r="D142">
            <v>3326</v>
          </cell>
          <cell r="E142">
            <v>456593</v>
          </cell>
          <cell r="F142">
            <v>69273</v>
          </cell>
        </row>
        <row r="143">
          <cell r="A143" t="str">
            <v>UIMA</v>
          </cell>
          <cell r="B143">
            <v>2175</v>
          </cell>
          <cell r="C143">
            <v>4619</v>
          </cell>
          <cell r="D143">
            <v>27403</v>
          </cell>
          <cell r="E143">
            <v>1500592</v>
          </cell>
          <cell r="F143">
            <v>496408</v>
          </cell>
        </row>
        <row r="144">
          <cell r="A144" t="str">
            <v>Unomi</v>
          </cell>
          <cell r="B144">
            <v>725</v>
          </cell>
          <cell r="C144">
            <v>896</v>
          </cell>
          <cell r="D144">
            <v>5559</v>
          </cell>
          <cell r="E144">
            <v>519497</v>
          </cell>
          <cell r="F144">
            <v>83447</v>
          </cell>
        </row>
        <row r="145">
          <cell r="A145" t="str">
            <v>VSS-Ant-Library</v>
          </cell>
          <cell r="B145">
            <v>19</v>
          </cell>
          <cell r="C145">
            <v>26</v>
          </cell>
          <cell r="D145">
            <v>168</v>
          </cell>
          <cell r="E145">
            <v>5365</v>
          </cell>
          <cell r="F145">
            <v>2388</v>
          </cell>
        </row>
        <row r="146">
          <cell r="A146" t="str">
            <v>VXQuery</v>
          </cell>
          <cell r="B146">
            <v>756</v>
          </cell>
          <cell r="C146">
            <v>832</v>
          </cell>
          <cell r="D146">
            <v>5741</v>
          </cell>
          <cell r="E146">
            <v>240511</v>
          </cell>
          <cell r="F146">
            <v>73386</v>
          </cell>
        </row>
        <row r="147">
          <cell r="A147" t="str">
            <v>Velocity</v>
          </cell>
          <cell r="B147">
            <v>401</v>
          </cell>
          <cell r="C147">
            <v>840</v>
          </cell>
          <cell r="D147">
            <v>3704</v>
          </cell>
          <cell r="E147">
            <v>303941</v>
          </cell>
          <cell r="F147">
            <v>66764</v>
          </cell>
        </row>
        <row r="148">
          <cell r="A148" t="str">
            <v>Velocity-Tools</v>
          </cell>
          <cell r="B148">
            <v>142</v>
          </cell>
          <cell r="C148">
            <v>346</v>
          </cell>
          <cell r="D148">
            <v>3143</v>
          </cell>
          <cell r="E148">
            <v>174055</v>
          </cell>
          <cell r="F148">
            <v>44699</v>
          </cell>
        </row>
        <row r="149">
          <cell r="A149" t="str">
            <v>Vysper</v>
          </cell>
          <cell r="B149">
            <v>781</v>
          </cell>
          <cell r="C149">
            <v>913</v>
          </cell>
          <cell r="D149">
            <v>5987</v>
          </cell>
          <cell r="E149">
            <v>333749</v>
          </cell>
          <cell r="F149">
            <v>82873</v>
          </cell>
        </row>
        <row r="150">
          <cell r="A150" t="str">
            <v>Whisker</v>
          </cell>
          <cell r="B150">
            <v>104</v>
          </cell>
          <cell r="C150">
            <v>105</v>
          </cell>
          <cell r="D150">
            <v>818</v>
          </cell>
          <cell r="E150">
            <v>83937</v>
          </cell>
          <cell r="F150">
            <v>10656</v>
          </cell>
        </row>
        <row r="151">
          <cell r="A151" t="str">
            <v>Wink</v>
          </cell>
          <cell r="B151">
            <v>1372</v>
          </cell>
          <cell r="C151">
            <v>2551</v>
          </cell>
          <cell r="D151">
            <v>13037</v>
          </cell>
          <cell r="E151">
            <v>371789</v>
          </cell>
          <cell r="F151">
            <v>210167</v>
          </cell>
        </row>
        <row r="152">
          <cell r="A152" t="str">
            <v>Wookie</v>
          </cell>
          <cell r="B152">
            <v>295</v>
          </cell>
          <cell r="C152">
            <v>396</v>
          </cell>
          <cell r="D152">
            <v>3174</v>
          </cell>
          <cell r="E152">
            <v>953426</v>
          </cell>
          <cell r="F152">
            <v>48537</v>
          </cell>
        </row>
        <row r="153">
          <cell r="A153" t="str">
            <v>XML-Graphics-Commons</v>
          </cell>
          <cell r="B153">
            <v>412</v>
          </cell>
          <cell r="C153">
            <v>708</v>
          </cell>
          <cell r="D153">
            <v>4157</v>
          </cell>
          <cell r="E153">
            <v>174164</v>
          </cell>
          <cell r="F153">
            <v>68684</v>
          </cell>
        </row>
        <row r="154">
          <cell r="A154" t="str">
            <v>XMLBeans</v>
          </cell>
          <cell r="B154">
            <v>1287</v>
          </cell>
          <cell r="C154">
            <v>1773</v>
          </cell>
          <cell r="D154">
            <v>12864</v>
          </cell>
          <cell r="E154">
            <v>955133</v>
          </cell>
          <cell r="F154">
            <v>219650</v>
          </cell>
        </row>
        <row r="155">
          <cell r="A155" t="str">
            <v>Xalan</v>
          </cell>
          <cell r="B155">
            <v>958</v>
          </cell>
          <cell r="C155">
            <v>2979</v>
          </cell>
          <cell r="D155">
            <v>15665</v>
          </cell>
          <cell r="E155">
            <v>902868</v>
          </cell>
          <cell r="F155">
            <v>347811</v>
          </cell>
        </row>
        <row r="156">
          <cell r="A156" t="str">
            <v>Xerces</v>
          </cell>
          <cell r="B156">
            <v>833</v>
          </cell>
          <cell r="C156">
            <v>1998</v>
          </cell>
          <cell r="D156">
            <v>15784</v>
          </cell>
          <cell r="E156">
            <v>735849</v>
          </cell>
          <cell r="F156">
            <v>260506</v>
          </cell>
        </row>
        <row r="157">
          <cell r="A157" t="str">
            <v>Yetus</v>
          </cell>
          <cell r="B157">
            <v>14</v>
          </cell>
          <cell r="C157">
            <v>23</v>
          </cell>
          <cell r="D157">
            <v>69</v>
          </cell>
          <cell r="E157">
            <v>141680</v>
          </cell>
          <cell r="F157">
            <v>1123</v>
          </cell>
        </row>
        <row r="158">
          <cell r="A158" t="str">
            <v>activemq</v>
          </cell>
          <cell r="B158">
            <v>4401</v>
          </cell>
          <cell r="C158">
            <v>5350</v>
          </cell>
          <cell r="D158">
            <v>50579</v>
          </cell>
          <cell r="E158">
            <v>1637096</v>
          </cell>
          <cell r="F158">
            <v>712145</v>
          </cell>
        </row>
        <row r="159">
          <cell r="A159" t="str">
            <v>ambari</v>
          </cell>
          <cell r="B159">
            <v>3336</v>
          </cell>
          <cell r="C159">
            <v>5001</v>
          </cell>
          <cell r="D159">
            <v>37170</v>
          </cell>
          <cell r="E159">
            <v>6558364</v>
          </cell>
          <cell r="F159">
            <v>691579</v>
          </cell>
        </row>
        <row r="160">
          <cell r="A160" t="str">
            <v>apex-core</v>
          </cell>
          <cell r="B160">
            <v>474</v>
          </cell>
          <cell r="C160">
            <v>1330</v>
          </cell>
          <cell r="D160">
            <v>6121</v>
          </cell>
          <cell r="E160">
            <v>268338</v>
          </cell>
          <cell r="F160">
            <v>107595</v>
          </cell>
        </row>
        <row r="161">
          <cell r="A161" t="str">
            <v>archiva</v>
          </cell>
          <cell r="B161">
            <v>1023</v>
          </cell>
          <cell r="C161">
            <v>1213</v>
          </cell>
          <cell r="D161">
            <v>11749</v>
          </cell>
          <cell r="E161">
            <v>1024788</v>
          </cell>
          <cell r="F161">
            <v>190811</v>
          </cell>
        </row>
        <row r="162">
          <cell r="A162" t="str">
            <v>aries</v>
          </cell>
          <cell r="B162">
            <v>1795</v>
          </cell>
          <cell r="C162">
            <v>2797</v>
          </cell>
          <cell r="D162">
            <v>15139</v>
          </cell>
          <cell r="E162">
            <v>896801</v>
          </cell>
          <cell r="F162">
            <v>229813</v>
          </cell>
        </row>
        <row r="163">
          <cell r="A163" t="str">
            <v>avro</v>
          </cell>
          <cell r="B163">
            <v>780</v>
          </cell>
          <cell r="C163">
            <v>1985</v>
          </cell>
          <cell r="D163">
            <v>10095</v>
          </cell>
          <cell r="E163">
            <v>1042994</v>
          </cell>
          <cell r="F163">
            <v>150436</v>
          </cell>
        </row>
        <row r="164">
          <cell r="A164" t="str">
            <v>beam</v>
          </cell>
          <cell r="B164">
            <v>6644</v>
          </cell>
          <cell r="C164">
            <v>15656</v>
          </cell>
          <cell r="D164">
            <v>76892</v>
          </cell>
          <cell r="E164">
            <v>11431929</v>
          </cell>
          <cell r="F164">
            <v>1294357</v>
          </cell>
        </row>
        <row r="165">
          <cell r="A165" t="str">
            <v>bookkeeper</v>
          </cell>
          <cell r="B165">
            <v>2368</v>
          </cell>
          <cell r="C165">
            <v>3518</v>
          </cell>
          <cell r="D165">
            <v>24211</v>
          </cell>
          <cell r="E165">
            <v>1745818</v>
          </cell>
          <cell r="F165">
            <v>424137</v>
          </cell>
        </row>
        <row r="166">
          <cell r="A166" t="str">
            <v>cTAKES</v>
          </cell>
          <cell r="B166">
            <v>1781</v>
          </cell>
          <cell r="C166">
            <v>2897</v>
          </cell>
          <cell r="D166">
            <v>14530</v>
          </cell>
          <cell r="E166">
            <v>1905147</v>
          </cell>
          <cell r="F166">
            <v>289931</v>
          </cell>
        </row>
        <row r="167">
          <cell r="A167" t="str">
            <v>camel</v>
          </cell>
          <cell r="B167">
            <v>23553</v>
          </cell>
          <cell r="C167">
            <v>33598</v>
          </cell>
          <cell r="D167">
            <v>239256</v>
          </cell>
          <cell r="E167">
            <v>14592055</v>
          </cell>
          <cell r="F167">
            <v>3262525</v>
          </cell>
        </row>
        <row r="168">
          <cell r="A168" t="str">
            <v>cassandra</v>
          </cell>
          <cell r="B168">
            <v>5942</v>
          </cell>
          <cell r="C168">
            <v>11861</v>
          </cell>
          <cell r="D168">
            <v>93136</v>
          </cell>
          <cell r="E168">
            <v>5576270</v>
          </cell>
          <cell r="F168">
            <v>1301995</v>
          </cell>
        </row>
        <row r="169">
          <cell r="A169" t="str">
            <v>causeway</v>
          </cell>
          <cell r="B169">
            <v>4566</v>
          </cell>
          <cell r="C169">
            <v>7030</v>
          </cell>
          <cell r="D169">
            <v>28935</v>
          </cell>
          <cell r="E169">
            <v>4971390</v>
          </cell>
          <cell r="F169">
            <v>454823</v>
          </cell>
        </row>
        <row r="170">
          <cell r="A170" t="str">
            <v>cayenne</v>
          </cell>
          <cell r="B170">
            <v>3904</v>
          </cell>
          <cell r="C170">
            <v>5149</v>
          </cell>
          <cell r="D170">
            <v>32051</v>
          </cell>
          <cell r="E170">
            <v>988945</v>
          </cell>
          <cell r="F170">
            <v>467166</v>
          </cell>
        </row>
        <row r="171">
          <cell r="A171" t="str">
            <v>cloudstack</v>
          </cell>
          <cell r="B171">
            <v>7655</v>
          </cell>
          <cell r="C171">
            <v>9237</v>
          </cell>
          <cell r="D171">
            <v>98677</v>
          </cell>
          <cell r="E171">
            <v>7738797</v>
          </cell>
          <cell r="F171">
            <v>1330151</v>
          </cell>
        </row>
        <row r="172">
          <cell r="A172" t="str">
            <v>commons-compress</v>
          </cell>
          <cell r="B172">
            <v>655</v>
          </cell>
          <cell r="C172">
            <v>1118</v>
          </cell>
          <cell r="D172">
            <v>8784</v>
          </cell>
          <cell r="E172">
            <v>1422370</v>
          </cell>
          <cell r="F172">
            <v>132017</v>
          </cell>
        </row>
        <row r="173">
          <cell r="A173" t="str">
            <v>commons-configuration</v>
          </cell>
          <cell r="B173">
            <v>474</v>
          </cell>
          <cell r="C173">
            <v>1640</v>
          </cell>
          <cell r="D173">
            <v>7970</v>
          </cell>
          <cell r="E173">
            <v>318087</v>
          </cell>
          <cell r="F173">
            <v>107223</v>
          </cell>
        </row>
        <row r="174">
          <cell r="A174" t="str">
            <v>commons-dbutils</v>
          </cell>
          <cell r="B174">
            <v>96</v>
          </cell>
          <cell r="C174">
            <v>160</v>
          </cell>
          <cell r="D174">
            <v>1321</v>
          </cell>
          <cell r="E174">
            <v>43303</v>
          </cell>
          <cell r="F174">
            <v>16509</v>
          </cell>
        </row>
        <row r="175">
          <cell r="A175" t="str">
            <v>commons-io</v>
          </cell>
          <cell r="B175">
            <v>552</v>
          </cell>
          <cell r="C175">
            <v>892</v>
          </cell>
          <cell r="D175">
            <v>7900</v>
          </cell>
          <cell r="E175">
            <v>264615</v>
          </cell>
          <cell r="F175">
            <v>117157</v>
          </cell>
        </row>
        <row r="176">
          <cell r="A176" t="str">
            <v>commons-text</v>
          </cell>
          <cell r="B176">
            <v>210</v>
          </cell>
          <cell r="C176">
            <v>406</v>
          </cell>
          <cell r="D176">
            <v>3238</v>
          </cell>
          <cell r="E176">
            <v>107766</v>
          </cell>
          <cell r="F176">
            <v>53272</v>
          </cell>
        </row>
        <row r="177">
          <cell r="A177" t="str">
            <v>continuum</v>
          </cell>
          <cell r="B177">
            <v>711</v>
          </cell>
          <cell r="C177">
            <v>776</v>
          </cell>
          <cell r="D177">
            <v>8425</v>
          </cell>
          <cell r="E177">
            <v>426269</v>
          </cell>
          <cell r="F177">
            <v>141601</v>
          </cell>
        </row>
        <row r="178">
          <cell r="A178" t="str">
            <v>creadur-rat</v>
          </cell>
          <cell r="B178">
            <v>320</v>
          </cell>
          <cell r="C178">
            <v>476</v>
          </cell>
          <cell r="D178">
            <v>2599</v>
          </cell>
          <cell r="E178">
            <v>330161</v>
          </cell>
          <cell r="F178">
            <v>43644</v>
          </cell>
        </row>
        <row r="179">
          <cell r="A179" t="str">
            <v>crunch</v>
          </cell>
          <cell r="B179">
            <v>730</v>
          </cell>
          <cell r="C179">
            <v>1203</v>
          </cell>
          <cell r="D179">
            <v>5585</v>
          </cell>
          <cell r="E179">
            <v>197287</v>
          </cell>
          <cell r="F179">
            <v>88601</v>
          </cell>
        </row>
        <row r="180">
          <cell r="A180" t="str">
            <v>cxf</v>
          </cell>
          <cell r="B180">
            <v>7563</v>
          </cell>
          <cell r="C180">
            <v>10443</v>
          </cell>
          <cell r="D180">
            <v>66412</v>
          </cell>
          <cell r="E180">
            <v>2939311</v>
          </cell>
          <cell r="F180">
            <v>1044871</v>
          </cell>
        </row>
        <row r="181">
          <cell r="A181" t="str">
            <v>datasketches</v>
          </cell>
          <cell r="B181">
            <v>602</v>
          </cell>
          <cell r="C181">
            <v>875</v>
          </cell>
          <cell r="D181">
            <v>10097</v>
          </cell>
          <cell r="E181">
            <v>474265</v>
          </cell>
          <cell r="F181">
            <v>158667</v>
          </cell>
        </row>
        <row r="182">
          <cell r="A182" t="str">
            <v>directory-ldap-api</v>
          </cell>
          <cell r="B182">
            <v>1516</v>
          </cell>
          <cell r="C182">
            <v>2183</v>
          </cell>
          <cell r="D182">
            <v>16575</v>
          </cell>
          <cell r="E182">
            <v>899411</v>
          </cell>
          <cell r="F182">
            <v>376092</v>
          </cell>
        </row>
        <row r="183">
          <cell r="A183" t="str">
            <v>druid</v>
          </cell>
          <cell r="B183">
            <v>8906</v>
          </cell>
          <cell r="C183">
            <v>13067</v>
          </cell>
          <cell r="D183">
            <v>96897</v>
          </cell>
          <cell r="E183">
            <v>8702860</v>
          </cell>
          <cell r="F183">
            <v>1754806</v>
          </cell>
        </row>
        <row r="184">
          <cell r="A184" t="str">
            <v>eventmesh</v>
          </cell>
          <cell r="B184">
            <v>1684</v>
          </cell>
          <cell r="C184">
            <v>2049</v>
          </cell>
          <cell r="D184">
            <v>9831</v>
          </cell>
          <cell r="E184">
            <v>833754</v>
          </cell>
          <cell r="F184">
            <v>161838</v>
          </cell>
        </row>
        <row r="185">
          <cell r="A185" t="str">
            <v>falcon</v>
          </cell>
          <cell r="B185">
            <v>850</v>
          </cell>
          <cell r="C185">
            <v>1218</v>
          </cell>
          <cell r="D185">
            <v>11380</v>
          </cell>
          <cell r="E185">
            <v>569254</v>
          </cell>
          <cell r="F185">
            <v>176574</v>
          </cell>
        </row>
        <row r="186">
          <cell r="A186" t="str">
            <v>fineract</v>
          </cell>
          <cell r="B186">
            <v>5539</v>
          </cell>
          <cell r="C186">
            <v>7671</v>
          </cell>
          <cell r="D186">
            <v>38386</v>
          </cell>
          <cell r="E186">
            <v>1891513</v>
          </cell>
          <cell r="F186">
            <v>727327</v>
          </cell>
        </row>
        <row r="187">
          <cell r="A187" t="str">
            <v>flink</v>
          </cell>
          <cell r="B187">
            <v>14197</v>
          </cell>
          <cell r="C187">
            <v>26734</v>
          </cell>
          <cell r="D187">
            <v>144327</v>
          </cell>
          <cell r="E187">
            <v>8504582</v>
          </cell>
          <cell r="F187">
            <v>2461128</v>
          </cell>
        </row>
        <row r="188">
          <cell r="A188" t="str">
            <v>flume</v>
          </cell>
          <cell r="B188">
            <v>565</v>
          </cell>
          <cell r="C188">
            <v>1007</v>
          </cell>
          <cell r="D188">
            <v>6338</v>
          </cell>
          <cell r="E188">
            <v>511096</v>
          </cell>
          <cell r="F188">
            <v>97824</v>
          </cell>
        </row>
        <row r="189">
          <cell r="A189" t="str">
            <v>geode</v>
          </cell>
          <cell r="B189">
            <v>8580</v>
          </cell>
          <cell r="C189">
            <v>14681</v>
          </cell>
          <cell r="D189">
            <v>130191</v>
          </cell>
          <cell r="E189">
            <v>4258176</v>
          </cell>
          <cell r="F189">
            <v>2004152</v>
          </cell>
        </row>
        <row r="190">
          <cell r="A190" t="str">
            <v>giraph</v>
          </cell>
          <cell r="B190">
            <v>1516</v>
          </cell>
          <cell r="C190">
            <v>2531</v>
          </cell>
          <cell r="D190">
            <v>11024</v>
          </cell>
          <cell r="E190">
            <v>420451</v>
          </cell>
          <cell r="F190">
            <v>180309</v>
          </cell>
        </row>
        <row r="191">
          <cell r="A191" t="str">
            <v>gobblin</v>
          </cell>
          <cell r="B191">
            <v>3612</v>
          </cell>
          <cell r="C191">
            <v>5866</v>
          </cell>
          <cell r="D191">
            <v>27075</v>
          </cell>
          <cell r="E191">
            <v>1775303</v>
          </cell>
          <cell r="F191">
            <v>466586</v>
          </cell>
        </row>
        <row r="192">
          <cell r="A192" t="str">
            <v>hadoop</v>
          </cell>
          <cell r="B192">
            <v>12560</v>
          </cell>
          <cell r="C192">
            <v>23227</v>
          </cell>
          <cell r="D192">
            <v>180280</v>
          </cell>
          <cell r="E192">
            <v>11142306</v>
          </cell>
          <cell r="F192">
            <v>2984573</v>
          </cell>
        </row>
        <row r="193">
          <cell r="A193" t="str">
            <v>hbase</v>
          </cell>
          <cell r="B193">
            <v>5178</v>
          </cell>
          <cell r="C193">
            <v>11109</v>
          </cell>
          <cell r="D193">
            <v>85138</v>
          </cell>
          <cell r="E193">
            <v>6047672</v>
          </cell>
          <cell r="F193">
            <v>1287803</v>
          </cell>
        </row>
        <row r="194">
          <cell r="A194" t="str">
            <v>helix</v>
          </cell>
          <cell r="B194">
            <v>1536</v>
          </cell>
          <cell r="C194">
            <v>2416</v>
          </cell>
          <cell r="D194">
            <v>15619</v>
          </cell>
          <cell r="E194">
            <v>871113</v>
          </cell>
          <cell r="F194">
            <v>297117</v>
          </cell>
        </row>
        <row r="195">
          <cell r="A195" t="str">
            <v>hive</v>
          </cell>
          <cell r="B195">
            <v>8317</v>
          </cell>
          <cell r="C195">
            <v>20822</v>
          </cell>
          <cell r="D195">
            <v>161348</v>
          </cell>
          <cell r="E195">
            <v>12845029</v>
          </cell>
          <cell r="F195">
            <v>2306971</v>
          </cell>
        </row>
        <row r="196">
          <cell r="A196" t="str">
            <v>hop</v>
          </cell>
          <cell r="B196">
            <v>4279</v>
          </cell>
          <cell r="C196">
            <v>5576</v>
          </cell>
          <cell r="D196">
            <v>52404</v>
          </cell>
          <cell r="E196">
            <v>3910521</v>
          </cell>
          <cell r="F196">
            <v>1017928</v>
          </cell>
        </row>
        <row r="197">
          <cell r="A197" t="str">
            <v>httpcomponents-client</v>
          </cell>
          <cell r="B197">
            <v>919</v>
          </cell>
          <cell r="C197">
            <v>1295</v>
          </cell>
          <cell r="D197">
            <v>8465</v>
          </cell>
          <cell r="E197">
            <v>368425</v>
          </cell>
          <cell r="F197">
            <v>152116</v>
          </cell>
        </row>
        <row r="198">
          <cell r="A198" t="str">
            <v>httpcomponents-core</v>
          </cell>
          <cell r="B198">
            <v>1012</v>
          </cell>
          <cell r="C198">
            <v>1263</v>
          </cell>
          <cell r="D198">
            <v>8749</v>
          </cell>
          <cell r="E198">
            <v>349994</v>
          </cell>
          <cell r="F198">
            <v>153261</v>
          </cell>
        </row>
        <row r="199">
          <cell r="A199" t="str">
            <v>hudi</v>
          </cell>
          <cell r="B199">
            <v>3579</v>
          </cell>
          <cell r="C199">
            <v>5402</v>
          </cell>
          <cell r="D199">
            <v>39685</v>
          </cell>
          <cell r="E199">
            <v>20806455</v>
          </cell>
          <cell r="F199">
            <v>634403</v>
          </cell>
        </row>
        <row r="200">
          <cell r="A200" t="str">
            <v>iceberg</v>
          </cell>
          <cell r="B200">
            <v>4784</v>
          </cell>
          <cell r="C200">
            <v>7784</v>
          </cell>
          <cell r="D200">
            <v>63950</v>
          </cell>
          <cell r="E200">
            <v>2038639</v>
          </cell>
          <cell r="F200">
            <v>1047642</v>
          </cell>
        </row>
        <row r="201">
          <cell r="A201" t="str">
            <v>ignite</v>
          </cell>
          <cell r="B201">
            <v>10459</v>
          </cell>
          <cell r="C201">
            <v>17728</v>
          </cell>
          <cell r="D201">
            <v>128108</v>
          </cell>
          <cell r="E201">
            <v>7415472</v>
          </cell>
          <cell r="F201">
            <v>2300066</v>
          </cell>
        </row>
        <row r="202">
          <cell r="A202" t="str">
            <v>impala</v>
          </cell>
          <cell r="B202">
            <v>1050</v>
          </cell>
          <cell r="C202">
            <v>2024</v>
          </cell>
          <cell r="D202">
            <v>24283</v>
          </cell>
          <cell r="E202">
            <v>15087240</v>
          </cell>
          <cell r="F202">
            <v>310319</v>
          </cell>
        </row>
        <row r="203">
          <cell r="A203" t="str">
            <v>inlong</v>
          </cell>
          <cell r="B203">
            <v>5354</v>
          </cell>
          <cell r="C203">
            <v>6557</v>
          </cell>
          <cell r="D203">
            <v>37670</v>
          </cell>
          <cell r="E203">
            <v>2003609</v>
          </cell>
          <cell r="F203">
            <v>708440</v>
          </cell>
        </row>
        <row r="204">
          <cell r="A204" t="str">
            <v>iotdb</v>
          </cell>
          <cell r="B204">
            <v>7022</v>
          </cell>
          <cell r="C204">
            <v>8719</v>
          </cell>
          <cell r="D204">
            <v>87251</v>
          </cell>
          <cell r="E204">
            <v>4490522</v>
          </cell>
          <cell r="F204">
            <v>1461634</v>
          </cell>
        </row>
        <row r="205">
          <cell r="A205" t="str">
            <v>jackrabbit</v>
          </cell>
          <cell r="B205">
            <v>2937</v>
          </cell>
          <cell r="C205">
            <v>4341</v>
          </cell>
          <cell r="D205">
            <v>38628</v>
          </cell>
          <cell r="E205">
            <v>1240401</v>
          </cell>
          <cell r="F205">
            <v>589746</v>
          </cell>
        </row>
        <row r="206">
          <cell r="A206" t="str">
            <v>james-project</v>
          </cell>
          <cell r="B206">
            <v>6056</v>
          </cell>
          <cell r="C206">
            <v>8622</v>
          </cell>
          <cell r="D206">
            <v>53336</v>
          </cell>
          <cell r="E206">
            <v>2842318</v>
          </cell>
          <cell r="F206">
            <v>756924</v>
          </cell>
        </row>
        <row r="207">
          <cell r="A207" t="str">
            <v>jclouds</v>
          </cell>
          <cell r="B207">
            <v>5878</v>
          </cell>
          <cell r="C207">
            <v>8541</v>
          </cell>
          <cell r="D207">
            <v>49614</v>
          </cell>
          <cell r="E207">
            <v>1514847</v>
          </cell>
          <cell r="F207">
            <v>656726</v>
          </cell>
        </row>
        <row r="208">
          <cell r="A208" t="str">
            <v>jena</v>
          </cell>
          <cell r="B208">
            <v>6809</v>
          </cell>
          <cell r="C208">
            <v>11510</v>
          </cell>
          <cell r="D208">
            <v>91028</v>
          </cell>
          <cell r="E208">
            <v>5855611</v>
          </cell>
          <cell r="F208">
            <v>1101351</v>
          </cell>
        </row>
        <row r="209">
          <cell r="A209" t="str">
            <v>jspwiki</v>
          </cell>
          <cell r="B209">
            <v>755</v>
          </cell>
          <cell r="C209">
            <v>1119</v>
          </cell>
          <cell r="D209">
            <v>6337</v>
          </cell>
          <cell r="E209">
            <v>1231943</v>
          </cell>
          <cell r="F209">
            <v>113847</v>
          </cell>
        </row>
        <row r="210">
          <cell r="A210" t="str">
            <v>kylin</v>
          </cell>
          <cell r="B210">
            <v>3496</v>
          </cell>
          <cell r="C210">
            <v>4388</v>
          </cell>
          <cell r="D210">
            <v>34479</v>
          </cell>
          <cell r="E210">
            <v>7662261</v>
          </cell>
          <cell r="F210">
            <v>551112</v>
          </cell>
        </row>
        <row r="211">
          <cell r="A211" t="str">
            <v>lens</v>
          </cell>
          <cell r="B211">
            <v>886</v>
          </cell>
          <cell r="C211">
            <v>1297</v>
          </cell>
          <cell r="D211">
            <v>9996</v>
          </cell>
          <cell r="E211">
            <v>393501</v>
          </cell>
          <cell r="F211">
            <v>165775</v>
          </cell>
        </row>
        <row r="212">
          <cell r="A212" t="str">
            <v>linkis</v>
          </cell>
          <cell r="B212">
            <v>2111</v>
          </cell>
          <cell r="C212">
            <v>2264</v>
          </cell>
          <cell r="D212">
            <v>14800</v>
          </cell>
          <cell r="E212">
            <v>1472038</v>
          </cell>
          <cell r="F212">
            <v>195544</v>
          </cell>
        </row>
        <row r="213">
          <cell r="A213" t="str">
            <v>logging-log4j2</v>
          </cell>
          <cell r="B213">
            <v>2562</v>
          </cell>
          <cell r="C213">
            <v>4523</v>
          </cell>
          <cell r="D213">
            <v>21973</v>
          </cell>
          <cell r="E213">
            <v>1681975</v>
          </cell>
          <cell r="F213">
            <v>344754</v>
          </cell>
        </row>
        <row r="214">
          <cell r="A214" t="str">
            <v>manifoldcf</v>
          </cell>
          <cell r="B214">
            <v>1374</v>
          </cell>
          <cell r="C214">
            <v>3366</v>
          </cell>
          <cell r="D214">
            <v>20288</v>
          </cell>
          <cell r="E214">
            <v>2099544</v>
          </cell>
          <cell r="F214">
            <v>345705</v>
          </cell>
        </row>
        <row r="215">
          <cell r="A215" t="str">
            <v>maven</v>
          </cell>
          <cell r="B215">
            <v>3057</v>
          </cell>
          <cell r="C215">
            <v>4438</v>
          </cell>
          <cell r="D215">
            <v>21293</v>
          </cell>
          <cell r="E215">
            <v>1429587</v>
          </cell>
          <cell r="F215">
            <v>357465</v>
          </cell>
        </row>
        <row r="216">
          <cell r="A216" t="str">
            <v>mina</v>
          </cell>
          <cell r="B216">
            <v>319</v>
          </cell>
          <cell r="C216">
            <v>494</v>
          </cell>
          <cell r="D216">
            <v>2911</v>
          </cell>
          <cell r="E216">
            <v>200328</v>
          </cell>
          <cell r="F216">
            <v>43411</v>
          </cell>
        </row>
        <row r="217">
          <cell r="A217" t="str">
            <v>mina-sshd</v>
          </cell>
          <cell r="B217">
            <v>1408</v>
          </cell>
          <cell r="C217">
            <v>1773</v>
          </cell>
          <cell r="D217">
            <v>14810</v>
          </cell>
          <cell r="E217">
            <v>454856</v>
          </cell>
          <cell r="F217">
            <v>221876</v>
          </cell>
        </row>
        <row r="218">
          <cell r="A218" t="str">
            <v>mina-vysper</v>
          </cell>
          <cell r="B218">
            <v>781</v>
          </cell>
          <cell r="C218">
            <v>913</v>
          </cell>
          <cell r="D218">
            <v>5987</v>
          </cell>
          <cell r="E218">
            <v>331824</v>
          </cell>
          <cell r="F218">
            <v>82873</v>
          </cell>
        </row>
        <row r="219">
          <cell r="A219" t="str">
            <v>myfaces</v>
          </cell>
          <cell r="B219">
            <v>1887</v>
          </cell>
          <cell r="C219">
            <v>2962</v>
          </cell>
          <cell r="D219">
            <v>19660</v>
          </cell>
          <cell r="E219">
            <v>1063678</v>
          </cell>
          <cell r="F219">
            <v>327737</v>
          </cell>
        </row>
        <row r="220">
          <cell r="A220" t="str">
            <v>nifi</v>
          </cell>
          <cell r="B220">
            <v>8172</v>
          </cell>
          <cell r="C220">
            <v>10282</v>
          </cell>
          <cell r="D220">
            <v>78797</v>
          </cell>
          <cell r="E220">
            <v>4532593</v>
          </cell>
          <cell r="F220">
            <v>1217995</v>
          </cell>
        </row>
        <row r="221">
          <cell r="A221" t="str">
            <v>ofbiz-framework</v>
          </cell>
          <cell r="B221">
            <v>1149</v>
          </cell>
          <cell r="C221">
            <v>2205</v>
          </cell>
          <cell r="D221">
            <v>19300</v>
          </cell>
          <cell r="E221">
            <v>7236296</v>
          </cell>
          <cell r="F221">
            <v>368099</v>
          </cell>
        </row>
        <row r="222">
          <cell r="A222" t="str">
            <v>olingo-odata4</v>
          </cell>
          <cell r="B222">
            <v>1860</v>
          </cell>
          <cell r="C222">
            <v>2488</v>
          </cell>
          <cell r="D222">
            <v>16408</v>
          </cell>
          <cell r="E222">
            <v>835426</v>
          </cell>
          <cell r="F222">
            <v>282861</v>
          </cell>
        </row>
        <row r="223">
          <cell r="A223" t="str">
            <v>oodt</v>
          </cell>
          <cell r="B223">
            <v>1306</v>
          </cell>
          <cell r="C223">
            <v>1906</v>
          </cell>
          <cell r="D223">
            <v>11001</v>
          </cell>
          <cell r="E223">
            <v>3132475</v>
          </cell>
          <cell r="F223">
            <v>186018</v>
          </cell>
        </row>
        <row r="224">
          <cell r="A224" t="str">
            <v>oozie</v>
          </cell>
          <cell r="B224">
            <v>1394</v>
          </cell>
          <cell r="C224">
            <v>2107</v>
          </cell>
          <cell r="D224">
            <v>18462</v>
          </cell>
          <cell r="E224">
            <v>627189</v>
          </cell>
          <cell r="F224">
            <v>283344</v>
          </cell>
        </row>
        <row r="225">
          <cell r="A225" t="str">
            <v>openmeetings</v>
          </cell>
          <cell r="B225">
            <v>827</v>
          </cell>
          <cell r="C225">
            <v>1005</v>
          </cell>
          <cell r="D225">
            <v>7660</v>
          </cell>
          <cell r="E225">
            <v>961682</v>
          </cell>
          <cell r="F225">
            <v>111412</v>
          </cell>
        </row>
        <row r="226">
          <cell r="A226" t="str">
            <v>orc</v>
          </cell>
          <cell r="B226">
            <v>409</v>
          </cell>
          <cell r="C226">
            <v>797</v>
          </cell>
          <cell r="D226">
            <v>6007</v>
          </cell>
          <cell r="E226">
            <v>908034</v>
          </cell>
          <cell r="F226">
            <v>101198</v>
          </cell>
        </row>
        <row r="227">
          <cell r="A227" t="str">
            <v>ozone</v>
          </cell>
          <cell r="B227">
            <v>4221</v>
          </cell>
          <cell r="C227">
            <v>6114</v>
          </cell>
          <cell r="D227">
            <v>45082</v>
          </cell>
          <cell r="E227">
            <v>2178927</v>
          </cell>
          <cell r="F227">
            <v>809957</v>
          </cell>
        </row>
        <row r="228">
          <cell r="A228" t="str">
            <v>parquet-mr</v>
          </cell>
          <cell r="B228">
            <v>874</v>
          </cell>
          <cell r="C228">
            <v>2112</v>
          </cell>
          <cell r="D228">
            <v>14338</v>
          </cell>
          <cell r="E228">
            <v>351009</v>
          </cell>
          <cell r="F228">
            <v>193425</v>
          </cell>
        </row>
        <row r="229">
          <cell r="A229" t="str">
            <v>phoenix</v>
          </cell>
          <cell r="B229">
            <v>2418</v>
          </cell>
          <cell r="C229">
            <v>3501</v>
          </cell>
          <cell r="D229">
            <v>38698</v>
          </cell>
          <cell r="E229">
            <v>1530966</v>
          </cell>
          <cell r="F229">
            <v>610364</v>
          </cell>
        </row>
        <row r="230">
          <cell r="A230" t="str">
            <v>pig</v>
          </cell>
          <cell r="B230">
            <v>1791</v>
          </cell>
          <cell r="C230">
            <v>3421</v>
          </cell>
          <cell r="D230">
            <v>25579</v>
          </cell>
          <cell r="E230">
            <v>1466018</v>
          </cell>
          <cell r="F230">
            <v>401355</v>
          </cell>
        </row>
        <row r="231">
          <cell r="A231" t="str">
            <v>pinot</v>
          </cell>
          <cell r="B231">
            <v>5012</v>
          </cell>
          <cell r="C231">
            <v>7682</v>
          </cell>
          <cell r="D231">
            <v>63502</v>
          </cell>
          <cell r="E231">
            <v>7208661</v>
          </cell>
          <cell r="F231">
            <v>977070</v>
          </cell>
        </row>
        <row r="232">
          <cell r="A232" t="str">
            <v>plc4x</v>
          </cell>
          <cell r="B232">
            <v>5169</v>
          </cell>
          <cell r="C232">
            <v>8614</v>
          </cell>
          <cell r="D232">
            <v>64641</v>
          </cell>
          <cell r="E232">
            <v>4749890</v>
          </cell>
          <cell r="F232">
            <v>911543</v>
          </cell>
        </row>
        <row r="233">
          <cell r="A233" t="str">
            <v>pulsar</v>
          </cell>
          <cell r="B233">
            <v>4436</v>
          </cell>
          <cell r="C233">
            <v>6940</v>
          </cell>
          <cell r="D233">
            <v>49156</v>
          </cell>
          <cell r="E233">
            <v>3285692</v>
          </cell>
          <cell r="F233">
            <v>927601</v>
          </cell>
        </row>
        <row r="234">
          <cell r="A234" t="str">
            <v>qpid-broker-j</v>
          </cell>
          <cell r="B234">
            <v>3071</v>
          </cell>
          <cell r="C234">
            <v>4003</v>
          </cell>
          <cell r="D234">
            <v>32959</v>
          </cell>
          <cell r="E234">
            <v>1909919</v>
          </cell>
          <cell r="F234">
            <v>536163</v>
          </cell>
        </row>
        <row r="235">
          <cell r="A235" t="str">
            <v>ranger</v>
          </cell>
          <cell r="B235">
            <v>1806</v>
          </cell>
          <cell r="C235">
            <v>2950</v>
          </cell>
          <cell r="D235">
            <v>24567</v>
          </cell>
          <cell r="E235">
            <v>2130145</v>
          </cell>
          <cell r="F235">
            <v>465298</v>
          </cell>
        </row>
        <row r="236">
          <cell r="A236" t="str">
            <v>reef</v>
          </cell>
          <cell r="B236">
            <v>2233</v>
          </cell>
          <cell r="C236">
            <v>3280</v>
          </cell>
          <cell r="D236">
            <v>10339</v>
          </cell>
          <cell r="E236">
            <v>724904</v>
          </cell>
          <cell r="F236">
            <v>182676</v>
          </cell>
        </row>
        <row r="237">
          <cell r="A237" t="str">
            <v>roller</v>
          </cell>
          <cell r="B237">
            <v>623</v>
          </cell>
          <cell r="C237">
            <v>724</v>
          </cell>
          <cell r="D237">
            <v>6579</v>
          </cell>
          <cell r="E237">
            <v>2433622</v>
          </cell>
          <cell r="F237">
            <v>98050</v>
          </cell>
        </row>
        <row r="238">
          <cell r="A238" t="str">
            <v>seatunnel</v>
          </cell>
          <cell r="B238">
            <v>3979</v>
          </cell>
          <cell r="C238">
            <v>4630</v>
          </cell>
          <cell r="D238">
            <v>29388</v>
          </cell>
          <cell r="E238">
            <v>1309534</v>
          </cell>
          <cell r="F238">
            <v>539797</v>
          </cell>
        </row>
        <row r="239">
          <cell r="A239" t="str">
            <v>shiro</v>
          </cell>
          <cell r="B239">
            <v>857</v>
          </cell>
          <cell r="C239">
            <v>1350</v>
          </cell>
          <cell r="D239">
            <v>6136</v>
          </cell>
          <cell r="E239">
            <v>391381</v>
          </cell>
          <cell r="F239">
            <v>95127</v>
          </cell>
        </row>
        <row r="240">
          <cell r="A240" t="str">
            <v>skywalking</v>
          </cell>
          <cell r="B240">
            <v>2151</v>
          </cell>
          <cell r="C240">
            <v>2705</v>
          </cell>
          <cell r="D240">
            <v>10324</v>
          </cell>
          <cell r="E240">
            <v>1838960</v>
          </cell>
          <cell r="F240">
            <v>199342</v>
          </cell>
        </row>
        <row r="241">
          <cell r="A241" t="str">
            <v>solr</v>
          </cell>
          <cell r="B241">
            <v>4299</v>
          </cell>
          <cell r="C241">
            <v>7108</v>
          </cell>
          <cell r="D241">
            <v>57803</v>
          </cell>
          <cell r="E241">
            <v>7702371</v>
          </cell>
          <cell r="F241">
            <v>970303</v>
          </cell>
        </row>
        <row r="242">
          <cell r="A242" t="str">
            <v>spark</v>
          </cell>
          <cell r="B242">
            <v>1224</v>
          </cell>
          <cell r="C242">
            <v>2093</v>
          </cell>
          <cell r="D242">
            <v>11485</v>
          </cell>
          <cell r="E242">
            <v>8364634</v>
          </cell>
          <cell r="F242">
            <v>173555</v>
          </cell>
        </row>
        <row r="243">
          <cell r="A243" t="str">
            <v>sqoop</v>
          </cell>
          <cell r="B243">
            <v>719</v>
          </cell>
          <cell r="C243">
            <v>1212</v>
          </cell>
          <cell r="D243">
            <v>8398</v>
          </cell>
          <cell r="E243">
            <v>320168</v>
          </cell>
          <cell r="F243">
            <v>131017</v>
          </cell>
        </row>
        <row r="244">
          <cell r="A244" t="str">
            <v>storm</v>
          </cell>
          <cell r="B244">
            <v>2014</v>
          </cell>
          <cell r="C244">
            <v>4456</v>
          </cell>
          <cell r="D244">
            <v>28572</v>
          </cell>
          <cell r="E244">
            <v>2036312</v>
          </cell>
          <cell r="F244">
            <v>397146</v>
          </cell>
        </row>
        <row r="245">
          <cell r="A245" t="str">
            <v>struts</v>
          </cell>
          <cell r="B245">
            <v>2217</v>
          </cell>
          <cell r="C245">
            <v>3473</v>
          </cell>
          <cell r="D245">
            <v>23743</v>
          </cell>
          <cell r="E245">
            <v>1116725</v>
          </cell>
          <cell r="F245">
            <v>298185</v>
          </cell>
        </row>
        <row r="246">
          <cell r="A246" t="str">
            <v>submarine</v>
          </cell>
          <cell r="B246">
            <v>411</v>
          </cell>
          <cell r="C246">
            <v>763</v>
          </cell>
          <cell r="D246">
            <v>5685</v>
          </cell>
          <cell r="E246">
            <v>647496</v>
          </cell>
          <cell r="F246">
            <v>110089</v>
          </cell>
        </row>
        <row r="247">
          <cell r="A247" t="str">
            <v>syncope</v>
          </cell>
          <cell r="B247">
            <v>3249</v>
          </cell>
          <cell r="C247">
            <v>3777</v>
          </cell>
          <cell r="D247">
            <v>23212</v>
          </cell>
          <cell r="E247">
            <v>1327215</v>
          </cell>
          <cell r="F247">
            <v>394497</v>
          </cell>
        </row>
        <row r="248">
          <cell r="A248" t="str">
            <v>tez</v>
          </cell>
          <cell r="B248">
            <v>1193</v>
          </cell>
          <cell r="C248">
            <v>2395</v>
          </cell>
          <cell r="D248">
            <v>15684</v>
          </cell>
          <cell r="E248">
            <v>1015885</v>
          </cell>
          <cell r="F248">
            <v>278554</v>
          </cell>
        </row>
        <row r="249">
          <cell r="A249" t="str">
            <v>tika</v>
          </cell>
          <cell r="B249">
            <v>1660</v>
          </cell>
          <cell r="C249">
            <v>2525</v>
          </cell>
          <cell r="D249">
            <v>16596</v>
          </cell>
          <cell r="E249">
            <v>6645495</v>
          </cell>
          <cell r="F249">
            <v>263636</v>
          </cell>
        </row>
        <row r="250">
          <cell r="A250" t="str">
            <v>tomee</v>
          </cell>
          <cell r="B250">
            <v>6261</v>
          </cell>
          <cell r="C250">
            <v>11401</v>
          </cell>
          <cell r="D250">
            <v>58892</v>
          </cell>
          <cell r="E250">
            <v>2326260</v>
          </cell>
          <cell r="F250">
            <v>835864</v>
          </cell>
        </row>
        <row r="251">
          <cell r="A251" t="str">
            <v>tsfile</v>
          </cell>
          <cell r="B251">
            <v>769</v>
          </cell>
          <cell r="C251">
            <v>1090</v>
          </cell>
          <cell r="D251">
            <v>9420</v>
          </cell>
          <cell r="E251">
            <v>488538</v>
          </cell>
          <cell r="F251">
            <v>134531</v>
          </cell>
        </row>
        <row r="252">
          <cell r="A252" t="str">
            <v>turbine-core</v>
          </cell>
          <cell r="B252">
            <v>434</v>
          </cell>
          <cell r="C252">
            <v>857</v>
          </cell>
          <cell r="D252">
            <v>3326</v>
          </cell>
          <cell r="E252">
            <v>455267</v>
          </cell>
          <cell r="F252">
            <v>69273</v>
          </cell>
        </row>
        <row r="253">
          <cell r="A253" t="str">
            <v>whirr</v>
          </cell>
          <cell r="B253">
            <v>275</v>
          </cell>
          <cell r="C253">
            <v>329</v>
          </cell>
          <cell r="D253">
            <v>1772</v>
          </cell>
          <cell r="E253">
            <v>133866</v>
          </cell>
          <cell r="F253">
            <v>29273</v>
          </cell>
        </row>
        <row r="254">
          <cell r="A254" t="str">
            <v>wicket</v>
          </cell>
          <cell r="B254">
            <v>3318</v>
          </cell>
          <cell r="C254">
            <v>5364</v>
          </cell>
          <cell r="D254">
            <v>24423</v>
          </cell>
          <cell r="E254">
            <v>1828487</v>
          </cell>
          <cell r="F254">
            <v>429271</v>
          </cell>
        </row>
        <row r="255">
          <cell r="A255" t="str">
            <v>ws-axiom</v>
          </cell>
          <cell r="B255">
            <v>2045</v>
          </cell>
          <cell r="C255">
            <v>2291</v>
          </cell>
          <cell r="D255">
            <v>9542</v>
          </cell>
          <cell r="E255">
            <v>437456</v>
          </cell>
          <cell r="F255">
            <v>149125</v>
          </cell>
        </row>
        <row r="256">
          <cell r="A256" t="str">
            <v>xmlgraphics-commons</v>
          </cell>
          <cell r="B256">
            <v>412</v>
          </cell>
          <cell r="C256">
            <v>708</v>
          </cell>
          <cell r="D256">
            <v>4157</v>
          </cell>
          <cell r="E256">
            <v>172965</v>
          </cell>
          <cell r="F256">
            <v>68684</v>
          </cell>
        </row>
        <row r="257">
          <cell r="A257" t="str">
            <v>xmlgraphics-fop</v>
          </cell>
          <cell r="B257">
            <v>2087</v>
          </cell>
          <cell r="C257">
            <v>4072</v>
          </cell>
          <cell r="D257">
            <v>25765</v>
          </cell>
          <cell r="E257">
            <v>4541574</v>
          </cell>
          <cell r="F257">
            <v>382912</v>
          </cell>
        </row>
        <row r="258">
          <cell r="A258" t="str">
            <v>zeppelin</v>
          </cell>
          <cell r="B258">
            <v>834</v>
          </cell>
          <cell r="C258">
            <v>1980</v>
          </cell>
          <cell r="D258">
            <v>14566</v>
          </cell>
          <cell r="E258">
            <v>1718654</v>
          </cell>
          <cell r="F258">
            <v>205129</v>
          </cell>
        </row>
        <row r="259">
          <cell r="A259" t="str">
            <v>zookeeper</v>
          </cell>
          <cell r="B259">
            <v>958</v>
          </cell>
          <cell r="C259">
            <v>1753</v>
          </cell>
          <cell r="D259">
            <v>11881</v>
          </cell>
          <cell r="E259">
            <v>1564700</v>
          </cell>
          <cell r="F259">
            <v>191857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pache/xmlgraphics-fop.gi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4668-AAC8-4D25-B7D5-F5E7915B686E}">
  <dimension ref="A1:O242"/>
  <sheetViews>
    <sheetView workbookViewId="0">
      <pane ySplit="1" topLeftCell="A72" activePane="bottomLeft" state="frozen"/>
      <selection pane="bottomLeft" activeCell="C75" sqref="C75"/>
    </sheetView>
  </sheetViews>
  <sheetFormatPr defaultRowHeight="13.8" x14ac:dyDescent="0.25"/>
  <cols>
    <col min="2" max="2" width="16.88671875" bestFit="1" customWidth="1"/>
    <col min="3" max="3" width="7.77734375" bestFit="1" customWidth="1"/>
    <col min="4" max="4" width="7.77734375" customWidth="1"/>
    <col min="5" max="5" width="18.44140625" bestFit="1" customWidth="1"/>
    <col min="6" max="6" width="12.88671875" bestFit="1" customWidth="1"/>
    <col min="7" max="7" width="25.5546875" bestFit="1" customWidth="1"/>
    <col min="8" max="8" width="7.44140625" bestFit="1" customWidth="1"/>
    <col min="9" max="9" width="8.77734375" bestFit="1" customWidth="1"/>
    <col min="10" max="10" width="8.77734375" style="11" customWidth="1"/>
    <col min="11" max="11" width="12.77734375" bestFit="1" customWidth="1"/>
    <col min="12" max="14" width="8.6640625" style="1"/>
  </cols>
  <sheetData>
    <row r="1" spans="1:15" x14ac:dyDescent="0.25">
      <c r="A1" t="s">
        <v>0</v>
      </c>
      <c r="B1" t="s">
        <v>1</v>
      </c>
      <c r="C1" t="s">
        <v>353</v>
      </c>
      <c r="D1" t="s">
        <v>354</v>
      </c>
      <c r="E1" t="s">
        <v>355</v>
      </c>
      <c r="F1" t="s">
        <v>366</v>
      </c>
      <c r="G1" t="s">
        <v>367</v>
      </c>
      <c r="H1" t="s">
        <v>2</v>
      </c>
      <c r="I1" s="7" t="s">
        <v>368</v>
      </c>
      <c r="J1" s="10" t="s">
        <v>381</v>
      </c>
      <c r="K1" s="7" t="s">
        <v>370</v>
      </c>
      <c r="L1" s="1" t="s">
        <v>3</v>
      </c>
      <c r="M1" s="1" t="s">
        <v>343</v>
      </c>
      <c r="N1" s="1" t="s">
        <v>344</v>
      </c>
      <c r="O1" s="1" t="s">
        <v>369</v>
      </c>
    </row>
    <row r="2" spans="1:15" x14ac:dyDescent="0.25">
      <c r="A2" t="s">
        <v>4</v>
      </c>
      <c r="B2">
        <v>10120</v>
      </c>
      <c r="C2">
        <v>6534</v>
      </c>
      <c r="D2">
        <v>1574</v>
      </c>
      <c r="E2">
        <v>2012</v>
      </c>
      <c r="F2">
        <v>8641</v>
      </c>
      <c r="G2">
        <v>1019</v>
      </c>
      <c r="H2">
        <v>7655</v>
      </c>
      <c r="I2">
        <f>VLOOKUP(A2,[1]project_size_report!$A:$F,6,0)</f>
        <v>1330151</v>
      </c>
      <c r="J2" s="11">
        <v>15.213698630136987</v>
      </c>
      <c r="K2" t="str">
        <f>IF(I2&lt;=100000,"Small",
   IF(I2&lt;=500000,"Medium",
      "Large"))</f>
        <v>Large</v>
      </c>
      <c r="L2" s="1">
        <v>0.65</v>
      </c>
      <c r="M2" s="1">
        <f>D2/B2</f>
        <v>0.15553359683794465</v>
      </c>
      <c r="N2" s="1">
        <f>E2/B2</f>
        <v>0.19881422924901185</v>
      </c>
      <c r="O2" t="s">
        <v>5</v>
      </c>
    </row>
    <row r="3" spans="1:15" x14ac:dyDescent="0.25">
      <c r="A3" t="s">
        <v>6</v>
      </c>
      <c r="B3">
        <v>6750</v>
      </c>
      <c r="C3">
        <v>4731</v>
      </c>
      <c r="D3">
        <v>1260</v>
      </c>
      <c r="E3">
        <v>759</v>
      </c>
      <c r="F3">
        <v>20968</v>
      </c>
      <c r="G3">
        <v>3076</v>
      </c>
      <c r="H3">
        <v>8580</v>
      </c>
      <c r="I3">
        <f>VLOOKUP(A3,[1]project_size_report!$A:$F,6,0)</f>
        <v>2004152</v>
      </c>
      <c r="J3" s="11">
        <v>10.493150684931507</v>
      </c>
      <c r="K3" t="str">
        <f t="shared" ref="K3:K66" si="0">IF(I3&lt;=100000,"Small",
   IF(I3&lt;=500000,"Medium",
      "Large"))</f>
        <v>Large</v>
      </c>
      <c r="L3" s="1">
        <v>0.7</v>
      </c>
      <c r="M3" s="1">
        <f t="shared" ref="M3:M66" si="1">D3/B3</f>
        <v>0.18666666666666668</v>
      </c>
      <c r="N3" s="1">
        <f t="shared" ref="N3:N66" si="2">E3/B3</f>
        <v>0.11244444444444444</v>
      </c>
      <c r="O3" t="s">
        <v>7</v>
      </c>
    </row>
    <row r="4" spans="1:15" x14ac:dyDescent="0.25">
      <c r="A4" t="s">
        <v>8</v>
      </c>
      <c r="B4">
        <v>4591</v>
      </c>
      <c r="C4">
        <v>4187</v>
      </c>
      <c r="D4">
        <v>295</v>
      </c>
      <c r="E4">
        <v>109</v>
      </c>
      <c r="F4">
        <v>21589</v>
      </c>
      <c r="G4">
        <v>3232</v>
      </c>
      <c r="H4">
        <v>12559</v>
      </c>
      <c r="I4">
        <f>VLOOKUP(A4,[1]project_size_report!$A:$F,6,0)</f>
        <v>2984573</v>
      </c>
      <c r="J4" s="11">
        <v>16.44109589041096</v>
      </c>
      <c r="K4" t="str">
        <f t="shared" si="0"/>
        <v>Large</v>
      </c>
      <c r="L4" s="1">
        <v>0.91</v>
      </c>
      <c r="M4" s="1">
        <f t="shared" si="1"/>
        <v>6.4256153343498143E-2</v>
      </c>
      <c r="N4" s="1">
        <f t="shared" si="2"/>
        <v>2.3742104116750165E-2</v>
      </c>
      <c r="O4" t="s">
        <v>9</v>
      </c>
    </row>
    <row r="5" spans="1:15" x14ac:dyDescent="0.25">
      <c r="A5" t="s">
        <v>10</v>
      </c>
      <c r="B5">
        <v>4137</v>
      </c>
      <c r="C5">
        <v>3191</v>
      </c>
      <c r="D5">
        <v>445</v>
      </c>
      <c r="E5">
        <v>501</v>
      </c>
      <c r="F5">
        <v>5036</v>
      </c>
      <c r="G5">
        <v>458</v>
      </c>
      <c r="H5">
        <v>1806</v>
      </c>
      <c r="I5">
        <f>VLOOKUP(A5,[1]project_size_report!$A:$F,6,0)</f>
        <v>465298</v>
      </c>
      <c r="J5" s="11">
        <v>11.183561643835617</v>
      </c>
      <c r="K5" t="str">
        <f t="shared" si="0"/>
        <v>Medium</v>
      </c>
      <c r="L5" s="1">
        <v>0.77</v>
      </c>
      <c r="M5" s="1">
        <f t="shared" si="1"/>
        <v>0.10756586898718878</v>
      </c>
      <c r="N5" s="1">
        <f t="shared" si="2"/>
        <v>0.1211022480058013</v>
      </c>
      <c r="O5" t="s">
        <v>11</v>
      </c>
    </row>
    <row r="6" spans="1:15" x14ac:dyDescent="0.25">
      <c r="A6" t="s">
        <v>12</v>
      </c>
      <c r="B6">
        <v>2415</v>
      </c>
      <c r="C6">
        <v>1471</v>
      </c>
      <c r="D6">
        <v>509</v>
      </c>
      <c r="E6">
        <v>435</v>
      </c>
      <c r="F6">
        <v>9215</v>
      </c>
      <c r="G6">
        <v>1429</v>
      </c>
      <c r="H6">
        <v>8128</v>
      </c>
      <c r="I6">
        <f>VLOOKUP(A6,[1]project_size_report!$A:$F,6,0)</f>
        <v>1217995</v>
      </c>
      <c r="J6" s="11">
        <v>10.646575342465754</v>
      </c>
      <c r="K6" t="str">
        <f t="shared" si="0"/>
        <v>Large</v>
      </c>
      <c r="L6" s="1">
        <v>0.61</v>
      </c>
      <c r="M6" s="1">
        <f t="shared" si="1"/>
        <v>0.21076604554865425</v>
      </c>
      <c r="N6" s="1">
        <f t="shared" si="2"/>
        <v>0.18012422360248448</v>
      </c>
      <c r="O6" t="s">
        <v>13</v>
      </c>
    </row>
    <row r="7" spans="1:15" x14ac:dyDescent="0.25">
      <c r="A7" t="s">
        <v>14</v>
      </c>
      <c r="B7">
        <v>2141</v>
      </c>
      <c r="C7">
        <v>1762</v>
      </c>
      <c r="D7">
        <v>308</v>
      </c>
      <c r="E7">
        <v>71</v>
      </c>
      <c r="F7">
        <v>8041</v>
      </c>
      <c r="G7">
        <v>1320</v>
      </c>
      <c r="H7">
        <v>4436</v>
      </c>
      <c r="I7">
        <f>VLOOKUP(A7,[1]project_size_report!$A:$F,6,0)</f>
        <v>927601</v>
      </c>
      <c r="J7" s="11">
        <v>9.1342465753424662</v>
      </c>
      <c r="K7" t="str">
        <f t="shared" si="0"/>
        <v>Large</v>
      </c>
      <c r="L7" s="1">
        <v>0.82</v>
      </c>
      <c r="M7" s="1">
        <f t="shared" si="1"/>
        <v>0.14385801027557216</v>
      </c>
      <c r="N7" s="1">
        <f t="shared" si="2"/>
        <v>3.3162073797290983E-2</v>
      </c>
      <c r="O7" t="s">
        <v>15</v>
      </c>
    </row>
    <row r="8" spans="1:15" x14ac:dyDescent="0.25">
      <c r="A8" t="s">
        <v>16</v>
      </c>
      <c r="B8">
        <v>1859</v>
      </c>
      <c r="C8">
        <v>1217</v>
      </c>
      <c r="D8">
        <v>349</v>
      </c>
      <c r="E8">
        <v>293</v>
      </c>
      <c r="F8">
        <v>13106</v>
      </c>
      <c r="G8">
        <v>1894</v>
      </c>
      <c r="H8">
        <v>6644</v>
      </c>
      <c r="I8">
        <f>VLOOKUP(A8,[1]project_size_report!$A:$F,6,0)</f>
        <v>1294357</v>
      </c>
      <c r="J8" s="11">
        <v>10.871232876712329</v>
      </c>
      <c r="K8" t="str">
        <f t="shared" si="0"/>
        <v>Large</v>
      </c>
      <c r="L8" s="1">
        <v>0.65</v>
      </c>
      <c r="M8" s="1">
        <f t="shared" si="1"/>
        <v>0.18773534158149544</v>
      </c>
      <c r="N8" s="1">
        <f t="shared" si="2"/>
        <v>0.15761161915008068</v>
      </c>
      <c r="O8" t="s">
        <v>17</v>
      </c>
    </row>
    <row r="9" spans="1:15" x14ac:dyDescent="0.25">
      <c r="A9" t="s">
        <v>18</v>
      </c>
      <c r="B9">
        <v>1430</v>
      </c>
      <c r="C9">
        <v>1093</v>
      </c>
      <c r="D9">
        <v>215</v>
      </c>
      <c r="E9">
        <v>122</v>
      </c>
      <c r="F9">
        <v>5519</v>
      </c>
      <c r="G9">
        <v>1005</v>
      </c>
      <c r="H9">
        <v>4213</v>
      </c>
      <c r="I9">
        <f>VLOOKUP(A9,[1]project_size_report!$A:$F,6,0)</f>
        <v>809957</v>
      </c>
      <c r="J9" s="11">
        <v>7.6164383561643838</v>
      </c>
      <c r="K9" t="str">
        <f t="shared" si="0"/>
        <v>Large</v>
      </c>
      <c r="L9" s="1">
        <v>0.76</v>
      </c>
      <c r="M9" s="1">
        <f t="shared" si="1"/>
        <v>0.15034965034965034</v>
      </c>
      <c r="N9" s="1">
        <f t="shared" si="2"/>
        <v>8.5314685314685321E-2</v>
      </c>
      <c r="O9" t="s">
        <v>19</v>
      </c>
    </row>
    <row r="10" spans="1:15" x14ac:dyDescent="0.25">
      <c r="A10" t="s">
        <v>20</v>
      </c>
      <c r="B10">
        <v>1419</v>
      </c>
      <c r="C10">
        <v>811</v>
      </c>
      <c r="D10">
        <v>425</v>
      </c>
      <c r="E10">
        <v>183</v>
      </c>
      <c r="F10">
        <v>2410</v>
      </c>
      <c r="G10">
        <v>444</v>
      </c>
      <c r="H10">
        <v>5490</v>
      </c>
      <c r="I10">
        <f>VLOOKUP(A10,[1]project_size_report!$A:$F,6,0)</f>
        <v>727327</v>
      </c>
      <c r="J10" s="11">
        <v>13.517808219178082</v>
      </c>
      <c r="K10" t="str">
        <f t="shared" si="0"/>
        <v>Large</v>
      </c>
      <c r="L10" s="1">
        <v>0.56999999999999995</v>
      </c>
      <c r="M10" s="1">
        <f t="shared" si="1"/>
        <v>0.29950669485553205</v>
      </c>
      <c r="N10" s="1">
        <f t="shared" si="2"/>
        <v>0.12896405919661733</v>
      </c>
      <c r="O10" t="s">
        <v>21</v>
      </c>
    </row>
    <row r="11" spans="1:15" x14ac:dyDescent="0.25">
      <c r="A11" t="s">
        <v>22</v>
      </c>
      <c r="B11">
        <v>1370</v>
      </c>
      <c r="C11">
        <v>1137</v>
      </c>
      <c r="D11">
        <v>147</v>
      </c>
      <c r="E11">
        <v>86</v>
      </c>
      <c r="F11">
        <v>6620</v>
      </c>
      <c r="G11">
        <v>1194</v>
      </c>
      <c r="H11">
        <v>4997</v>
      </c>
      <c r="I11">
        <f>VLOOKUP(A11,[1]project_size_report!$A:$F,6,0)</f>
        <v>977070</v>
      </c>
      <c r="J11" s="11">
        <v>10.986301369863014</v>
      </c>
      <c r="K11" t="str">
        <f t="shared" si="0"/>
        <v>Large</v>
      </c>
      <c r="L11" s="1">
        <v>0.83</v>
      </c>
      <c r="M11" s="1">
        <f t="shared" si="1"/>
        <v>0.1072992700729927</v>
      </c>
      <c r="N11" s="1">
        <f t="shared" si="2"/>
        <v>6.2773722627737227E-2</v>
      </c>
      <c r="O11" t="s">
        <v>23</v>
      </c>
    </row>
    <row r="12" spans="1:15" x14ac:dyDescent="0.25">
      <c r="A12" t="s">
        <v>24</v>
      </c>
      <c r="B12">
        <v>1315</v>
      </c>
      <c r="C12">
        <v>1021</v>
      </c>
      <c r="D12">
        <v>213</v>
      </c>
      <c r="E12">
        <v>81</v>
      </c>
      <c r="F12">
        <v>5110</v>
      </c>
      <c r="G12">
        <v>673</v>
      </c>
      <c r="H12">
        <v>3071</v>
      </c>
      <c r="I12">
        <f>VLOOKUP(A12,[1]project_size_report!$A:$F,6,0)</f>
        <v>536163</v>
      </c>
      <c r="J12" s="11">
        <v>19.073972602739726</v>
      </c>
      <c r="K12" t="str">
        <f t="shared" si="0"/>
        <v>Large</v>
      </c>
      <c r="L12" s="1">
        <v>0.78</v>
      </c>
      <c r="M12" s="1">
        <f t="shared" si="1"/>
        <v>0.16197718631178706</v>
      </c>
      <c r="N12" s="1">
        <f t="shared" si="2"/>
        <v>6.1596958174904945E-2</v>
      </c>
      <c r="O12" t="s">
        <v>25</v>
      </c>
    </row>
    <row r="13" spans="1:15" x14ac:dyDescent="0.25">
      <c r="A13" t="s">
        <v>26</v>
      </c>
      <c r="B13">
        <v>1293</v>
      </c>
      <c r="C13">
        <v>488</v>
      </c>
      <c r="D13">
        <v>617</v>
      </c>
      <c r="E13">
        <v>188</v>
      </c>
      <c r="F13">
        <v>5378</v>
      </c>
      <c r="G13">
        <v>858</v>
      </c>
      <c r="H13">
        <v>3496</v>
      </c>
      <c r="I13">
        <f>VLOOKUP(A13,[1]project_size_report!$A:$F,6,0)</f>
        <v>551112</v>
      </c>
      <c r="J13" s="11">
        <v>3.2246575342465755</v>
      </c>
      <c r="K13" t="str">
        <f t="shared" si="0"/>
        <v>Large</v>
      </c>
      <c r="L13" s="1">
        <v>0.38</v>
      </c>
      <c r="M13" s="1">
        <f t="shared" si="1"/>
        <v>0.47718484145398299</v>
      </c>
      <c r="N13" s="1">
        <f t="shared" si="2"/>
        <v>0.14539829853054911</v>
      </c>
      <c r="O13" t="s">
        <v>27</v>
      </c>
    </row>
    <row r="14" spans="1:15" x14ac:dyDescent="0.25">
      <c r="A14" t="s">
        <v>28</v>
      </c>
      <c r="B14">
        <v>1265</v>
      </c>
      <c r="C14">
        <v>1025</v>
      </c>
      <c r="D14">
        <v>161</v>
      </c>
      <c r="E14">
        <v>79</v>
      </c>
      <c r="F14">
        <v>8082</v>
      </c>
      <c r="G14">
        <v>1260</v>
      </c>
      <c r="H14">
        <v>7561</v>
      </c>
      <c r="I14">
        <f>VLOOKUP(A14,[1]project_size_report!$A:$F,6,0)</f>
        <v>1044871</v>
      </c>
      <c r="J14" s="11">
        <v>17.512328767123286</v>
      </c>
      <c r="K14" t="str">
        <f t="shared" si="0"/>
        <v>Large</v>
      </c>
      <c r="L14" s="1">
        <v>0.81</v>
      </c>
      <c r="M14" s="1">
        <f t="shared" si="1"/>
        <v>0.12727272727272726</v>
      </c>
      <c r="N14" s="1">
        <f t="shared" si="2"/>
        <v>6.2450592885375494E-2</v>
      </c>
      <c r="O14" t="s">
        <v>29</v>
      </c>
    </row>
    <row r="15" spans="1:15" x14ac:dyDescent="0.25">
      <c r="A15" t="s">
        <v>30</v>
      </c>
      <c r="B15">
        <v>1135</v>
      </c>
      <c r="C15">
        <v>848</v>
      </c>
      <c r="D15">
        <v>194</v>
      </c>
      <c r="E15">
        <v>93</v>
      </c>
      <c r="F15">
        <v>3101</v>
      </c>
      <c r="G15">
        <v>712</v>
      </c>
      <c r="H15">
        <v>4263</v>
      </c>
      <c r="I15">
        <f>VLOOKUP(A15,[1]project_size_report!$A:$F,6,0)</f>
        <v>1017928</v>
      </c>
      <c r="J15" s="11">
        <v>6.087671232876712</v>
      </c>
      <c r="K15" t="str">
        <f t="shared" si="0"/>
        <v>Large</v>
      </c>
      <c r="L15" s="1">
        <v>0.75</v>
      </c>
      <c r="M15" s="1">
        <f t="shared" si="1"/>
        <v>0.17092511013215858</v>
      </c>
      <c r="N15" s="1">
        <f t="shared" si="2"/>
        <v>8.1938325991189428E-2</v>
      </c>
      <c r="O15" t="s">
        <v>31</v>
      </c>
    </row>
    <row r="16" spans="1:15" x14ac:dyDescent="0.25">
      <c r="A16" t="s">
        <v>32</v>
      </c>
      <c r="B16">
        <v>1045</v>
      </c>
      <c r="C16">
        <v>962</v>
      </c>
      <c r="D16">
        <v>63</v>
      </c>
      <c r="E16">
        <v>20</v>
      </c>
      <c r="F16">
        <v>1498</v>
      </c>
      <c r="G16">
        <v>212</v>
      </c>
      <c r="H16">
        <v>1193</v>
      </c>
      <c r="I16">
        <f>VLOOKUP(A16,[1]project_size_report!$A:$F,6,0)</f>
        <v>278554</v>
      </c>
      <c r="J16" s="11">
        <v>12.597260273972603</v>
      </c>
      <c r="K16" t="str">
        <f t="shared" si="0"/>
        <v>Medium</v>
      </c>
      <c r="L16" s="1">
        <v>0.92</v>
      </c>
      <c r="M16" s="1">
        <f t="shared" si="1"/>
        <v>6.0287081339712917E-2</v>
      </c>
      <c r="N16" s="1">
        <f t="shared" si="2"/>
        <v>1.9138755980861243E-2</v>
      </c>
      <c r="O16" t="s">
        <v>33</v>
      </c>
    </row>
    <row r="17" spans="1:15" x14ac:dyDescent="0.25">
      <c r="A17" t="s">
        <v>34</v>
      </c>
      <c r="B17">
        <v>913</v>
      </c>
      <c r="C17">
        <v>688</v>
      </c>
      <c r="D17">
        <v>148</v>
      </c>
      <c r="E17">
        <v>77</v>
      </c>
      <c r="F17">
        <v>10201</v>
      </c>
      <c r="G17">
        <v>1391</v>
      </c>
      <c r="H17">
        <v>8314</v>
      </c>
      <c r="I17">
        <f>VLOOKUP(A17,[1]project_size_report!$A:$F,6,0)</f>
        <v>2306971</v>
      </c>
      <c r="J17" s="11">
        <v>17.153424657534245</v>
      </c>
      <c r="K17" t="str">
        <f t="shared" si="0"/>
        <v>Large</v>
      </c>
      <c r="L17" s="1">
        <v>0.75</v>
      </c>
      <c r="M17" s="1">
        <f t="shared" si="1"/>
        <v>0.16210295728368018</v>
      </c>
      <c r="N17" s="1">
        <f t="shared" si="2"/>
        <v>8.4337349397590355E-2</v>
      </c>
      <c r="O17" t="s">
        <v>35</v>
      </c>
    </row>
    <row r="18" spans="1:15" x14ac:dyDescent="0.25">
      <c r="A18" t="s">
        <v>36</v>
      </c>
      <c r="B18">
        <v>878</v>
      </c>
      <c r="C18">
        <v>729</v>
      </c>
      <c r="D18">
        <v>109</v>
      </c>
      <c r="E18">
        <v>40</v>
      </c>
      <c r="F18">
        <v>7543</v>
      </c>
      <c r="G18">
        <v>1809</v>
      </c>
      <c r="H18">
        <v>5173</v>
      </c>
      <c r="I18">
        <f>VLOOKUP(A18,[1]project_size_report!$A:$F,6,0)</f>
        <v>1287803</v>
      </c>
      <c r="J18" s="11">
        <v>18.56986301369863</v>
      </c>
      <c r="K18" t="str">
        <f t="shared" si="0"/>
        <v>Large</v>
      </c>
      <c r="L18" s="1">
        <v>0.83</v>
      </c>
      <c r="M18" s="1">
        <f t="shared" si="1"/>
        <v>0.12414578587699317</v>
      </c>
      <c r="N18" s="1">
        <f t="shared" si="2"/>
        <v>4.5558086560364468E-2</v>
      </c>
      <c r="O18" t="s">
        <v>37</v>
      </c>
    </row>
    <row r="19" spans="1:15" x14ac:dyDescent="0.25">
      <c r="A19" t="s">
        <v>38</v>
      </c>
      <c r="B19">
        <v>837</v>
      </c>
      <c r="C19">
        <v>503</v>
      </c>
      <c r="D19">
        <v>218</v>
      </c>
      <c r="E19">
        <v>116</v>
      </c>
      <c r="F19">
        <v>15691</v>
      </c>
      <c r="G19">
        <v>6570</v>
      </c>
      <c r="H19">
        <v>19154</v>
      </c>
      <c r="I19">
        <f>VLOOKUP(A19,[1]project_size_report!$A:$F,6,0)</f>
        <v>3262525</v>
      </c>
      <c r="J19" s="11">
        <v>18.613698630136987</v>
      </c>
      <c r="K19" t="str">
        <f t="shared" si="0"/>
        <v>Large</v>
      </c>
      <c r="L19" s="1">
        <v>0.6</v>
      </c>
      <c r="M19" s="1">
        <f t="shared" si="1"/>
        <v>0.26045400238948624</v>
      </c>
      <c r="N19" s="1">
        <f t="shared" si="2"/>
        <v>0.13859020310633213</v>
      </c>
      <c r="O19" t="s">
        <v>39</v>
      </c>
    </row>
    <row r="20" spans="1:15" x14ac:dyDescent="0.25">
      <c r="A20" t="s">
        <v>40</v>
      </c>
      <c r="B20">
        <v>784</v>
      </c>
      <c r="C20">
        <v>488</v>
      </c>
      <c r="D20">
        <v>152</v>
      </c>
      <c r="E20">
        <v>144</v>
      </c>
      <c r="F20">
        <v>14311</v>
      </c>
      <c r="G20">
        <v>1576</v>
      </c>
      <c r="H20">
        <v>6053</v>
      </c>
      <c r="I20">
        <f>VLOOKUP(A20,[1]project_size_report!$A:$F,6,0)</f>
        <v>757002</v>
      </c>
      <c r="J20" s="11">
        <v>19.109589041095891</v>
      </c>
      <c r="K20" t="str">
        <f t="shared" si="0"/>
        <v>Large</v>
      </c>
      <c r="L20" s="1">
        <v>0.62</v>
      </c>
      <c r="M20" s="1">
        <f t="shared" si="1"/>
        <v>0.19387755102040816</v>
      </c>
      <c r="N20" s="1">
        <f t="shared" si="2"/>
        <v>0.18367346938775511</v>
      </c>
      <c r="O20" t="s">
        <v>41</v>
      </c>
    </row>
    <row r="21" spans="1:15" x14ac:dyDescent="0.25">
      <c r="A21" t="s">
        <v>42</v>
      </c>
      <c r="B21">
        <v>761</v>
      </c>
      <c r="C21">
        <v>652</v>
      </c>
      <c r="D21">
        <v>65</v>
      </c>
      <c r="E21">
        <v>44</v>
      </c>
      <c r="F21">
        <v>2525</v>
      </c>
      <c r="G21">
        <v>733</v>
      </c>
      <c r="H21">
        <v>3612</v>
      </c>
      <c r="I21">
        <f>VLOOKUP(A21,[1]project_size_report!$A:$F,6,0)</f>
        <v>466586</v>
      </c>
      <c r="J21" s="11">
        <v>11.682191780821919</v>
      </c>
      <c r="K21" t="str">
        <f t="shared" si="0"/>
        <v>Medium</v>
      </c>
      <c r="L21" s="1">
        <v>0.86</v>
      </c>
      <c r="M21" s="1">
        <f t="shared" si="1"/>
        <v>8.5413929040735873E-2</v>
      </c>
      <c r="N21" s="1">
        <f t="shared" si="2"/>
        <v>5.7818659658344283E-2</v>
      </c>
      <c r="O21" t="s">
        <v>43</v>
      </c>
    </row>
    <row r="22" spans="1:15" x14ac:dyDescent="0.25">
      <c r="A22" t="s">
        <v>44</v>
      </c>
      <c r="B22">
        <v>741</v>
      </c>
      <c r="C22">
        <v>624</v>
      </c>
      <c r="D22">
        <v>83</v>
      </c>
      <c r="E22">
        <v>34</v>
      </c>
      <c r="F22">
        <v>5176</v>
      </c>
      <c r="G22">
        <v>794</v>
      </c>
      <c r="H22">
        <v>3336</v>
      </c>
      <c r="I22">
        <f>VLOOKUP(A22,[1]project_size_report!$A:$F,6,0)</f>
        <v>691579</v>
      </c>
      <c r="J22" s="11">
        <v>14.049315068493151</v>
      </c>
      <c r="K22" t="str">
        <f t="shared" si="0"/>
        <v>Large</v>
      </c>
      <c r="L22" s="1">
        <v>0.84</v>
      </c>
      <c r="M22" s="1">
        <f t="shared" si="1"/>
        <v>0.11201079622132254</v>
      </c>
      <c r="N22" s="1">
        <f t="shared" si="2"/>
        <v>4.5883940620782729E-2</v>
      </c>
      <c r="O22" t="s">
        <v>45</v>
      </c>
    </row>
    <row r="23" spans="1:15" x14ac:dyDescent="0.25">
      <c r="A23" t="s">
        <v>46</v>
      </c>
      <c r="B23">
        <v>696</v>
      </c>
      <c r="C23">
        <v>445</v>
      </c>
      <c r="D23">
        <v>153</v>
      </c>
      <c r="E23">
        <v>98</v>
      </c>
      <c r="F23">
        <v>4245</v>
      </c>
      <c r="G23">
        <v>763</v>
      </c>
      <c r="H23">
        <v>3576</v>
      </c>
      <c r="I23">
        <f>VLOOKUP(A23,[1]project_size_report!$A:$F,6,0)</f>
        <v>634403</v>
      </c>
      <c r="J23" s="11">
        <v>8.8575342465753426</v>
      </c>
      <c r="K23" t="str">
        <f t="shared" si="0"/>
        <v>Large</v>
      </c>
      <c r="L23" s="1">
        <v>0.64</v>
      </c>
      <c r="M23" s="1">
        <f t="shared" si="1"/>
        <v>0.21982758620689655</v>
      </c>
      <c r="N23" s="1">
        <f t="shared" si="2"/>
        <v>0.14080459770114942</v>
      </c>
      <c r="O23" t="s">
        <v>47</v>
      </c>
    </row>
    <row r="24" spans="1:15" x14ac:dyDescent="0.25">
      <c r="A24" t="s">
        <v>48</v>
      </c>
      <c r="B24">
        <v>630</v>
      </c>
      <c r="C24">
        <v>404</v>
      </c>
      <c r="D24">
        <v>149</v>
      </c>
      <c r="E24">
        <v>77</v>
      </c>
      <c r="F24">
        <v>18502</v>
      </c>
      <c r="G24">
        <v>2491</v>
      </c>
      <c r="H24">
        <v>8932</v>
      </c>
      <c r="I24">
        <f>VLOOKUP(A24,[1]project_size_report!$A:$F,6,0)</f>
        <v>1754806</v>
      </c>
      <c r="J24" s="11">
        <v>13.010958904109589</v>
      </c>
      <c r="K24" t="str">
        <f t="shared" si="0"/>
        <v>Large</v>
      </c>
      <c r="L24" s="1">
        <v>0.64</v>
      </c>
      <c r="M24" s="1">
        <f t="shared" si="1"/>
        <v>0.2365079365079365</v>
      </c>
      <c r="N24" s="1">
        <f t="shared" si="2"/>
        <v>0.12222222222222222</v>
      </c>
      <c r="O24" t="s">
        <v>49</v>
      </c>
    </row>
    <row r="25" spans="1:15" x14ac:dyDescent="0.25">
      <c r="A25" t="s">
        <v>50</v>
      </c>
      <c r="B25">
        <v>579</v>
      </c>
      <c r="C25">
        <v>570</v>
      </c>
      <c r="D25">
        <v>7</v>
      </c>
      <c r="E25">
        <v>2</v>
      </c>
      <c r="F25">
        <v>15658</v>
      </c>
      <c r="G25">
        <v>2736</v>
      </c>
      <c r="H25">
        <v>14144</v>
      </c>
      <c r="I25">
        <f>VLOOKUP(A25,[1]project_size_report!$A:$F,6,0)</f>
        <v>2461128</v>
      </c>
      <c r="J25" s="11">
        <v>14.868493150684932</v>
      </c>
      <c r="K25" t="str">
        <f t="shared" si="0"/>
        <v>Large</v>
      </c>
      <c r="L25" s="1">
        <v>0.98</v>
      </c>
      <c r="M25" s="1">
        <f t="shared" si="1"/>
        <v>1.2089810017271158E-2</v>
      </c>
      <c r="N25" s="1">
        <f t="shared" si="2"/>
        <v>3.4542314335060447E-3</v>
      </c>
      <c r="O25" t="s">
        <v>51</v>
      </c>
    </row>
    <row r="26" spans="1:15" x14ac:dyDescent="0.25">
      <c r="A26" t="s">
        <v>52</v>
      </c>
      <c r="B26">
        <v>536</v>
      </c>
      <c r="C26">
        <v>404</v>
      </c>
      <c r="D26">
        <v>97</v>
      </c>
      <c r="E26">
        <v>35</v>
      </c>
      <c r="F26">
        <v>3332</v>
      </c>
      <c r="G26">
        <v>568</v>
      </c>
      <c r="H26">
        <v>2368</v>
      </c>
      <c r="I26">
        <f>VLOOKUP(A26,[1]project_size_report!$A:$F,6,0)</f>
        <v>424137</v>
      </c>
      <c r="J26" s="11">
        <v>14.578082191780823</v>
      </c>
      <c r="K26" t="str">
        <f t="shared" si="0"/>
        <v>Medium</v>
      </c>
      <c r="L26" s="1">
        <v>0.75</v>
      </c>
      <c r="M26" s="1">
        <f t="shared" si="1"/>
        <v>0.18097014925373134</v>
      </c>
      <c r="N26" s="1">
        <f t="shared" si="2"/>
        <v>6.5298507462686561E-2</v>
      </c>
      <c r="O26" t="s">
        <v>53</v>
      </c>
    </row>
    <row r="27" spans="1:15" x14ac:dyDescent="0.25">
      <c r="A27" t="s">
        <v>54</v>
      </c>
      <c r="B27">
        <v>478</v>
      </c>
      <c r="C27">
        <v>471</v>
      </c>
      <c r="D27">
        <v>7</v>
      </c>
      <c r="E27">
        <v>0</v>
      </c>
      <c r="F27">
        <v>2981</v>
      </c>
      <c r="G27">
        <v>275</v>
      </c>
      <c r="H27">
        <v>1860</v>
      </c>
      <c r="I27">
        <f>VLOOKUP(A27,[1]project_size_report!$A:$F,6,0)</f>
        <v>282861</v>
      </c>
      <c r="J27" s="11">
        <v>11.583561643835617</v>
      </c>
      <c r="K27" t="str">
        <f t="shared" si="0"/>
        <v>Medium</v>
      </c>
      <c r="L27" s="1">
        <v>0.99</v>
      </c>
      <c r="M27" s="1">
        <f t="shared" si="1"/>
        <v>1.4644351464435146E-2</v>
      </c>
      <c r="N27" s="1">
        <f t="shared" si="2"/>
        <v>0</v>
      </c>
      <c r="O27" t="s">
        <v>55</v>
      </c>
    </row>
    <row r="28" spans="1:15" x14ac:dyDescent="0.25">
      <c r="A28" t="s">
        <v>56</v>
      </c>
      <c r="B28">
        <v>473</v>
      </c>
      <c r="C28">
        <v>432</v>
      </c>
      <c r="D28">
        <v>23</v>
      </c>
      <c r="E28">
        <v>18</v>
      </c>
      <c r="F28">
        <v>6317</v>
      </c>
      <c r="G28">
        <v>901</v>
      </c>
      <c r="H28">
        <v>4772</v>
      </c>
      <c r="I28">
        <f>VLOOKUP(A28,[1]project_size_report!$A:$F,6,0)</f>
        <v>1047642</v>
      </c>
      <c r="J28" s="11">
        <v>7.8684931506849312</v>
      </c>
      <c r="K28" t="str">
        <f t="shared" si="0"/>
        <v>Large</v>
      </c>
      <c r="L28" s="1">
        <v>0.91</v>
      </c>
      <c r="M28" s="1">
        <f t="shared" si="1"/>
        <v>4.8625792811839326E-2</v>
      </c>
      <c r="N28" s="1">
        <f t="shared" si="2"/>
        <v>3.8054968287526428E-2</v>
      </c>
      <c r="O28" t="s">
        <v>57</v>
      </c>
    </row>
    <row r="29" spans="1:15" x14ac:dyDescent="0.25">
      <c r="A29" t="s">
        <v>58</v>
      </c>
      <c r="B29">
        <v>354</v>
      </c>
      <c r="C29">
        <v>294</v>
      </c>
      <c r="D29">
        <v>43</v>
      </c>
      <c r="E29">
        <v>17</v>
      </c>
      <c r="F29">
        <v>7397</v>
      </c>
      <c r="G29">
        <v>1239</v>
      </c>
      <c r="H29">
        <v>6976</v>
      </c>
      <c r="I29">
        <f>VLOOKUP(A29,[1]project_size_report!$A:$F,6,0)</f>
        <v>1461634</v>
      </c>
      <c r="J29" s="11">
        <v>8.4712328767123282</v>
      </c>
      <c r="K29" t="str">
        <f t="shared" si="0"/>
        <v>Large</v>
      </c>
      <c r="L29" s="1">
        <v>0.83</v>
      </c>
      <c r="M29" s="1">
        <f t="shared" si="1"/>
        <v>0.12146892655367232</v>
      </c>
      <c r="N29" s="1">
        <f t="shared" si="2"/>
        <v>4.8022598870056499E-2</v>
      </c>
      <c r="O29" t="s">
        <v>59</v>
      </c>
    </row>
    <row r="30" spans="1:15" x14ac:dyDescent="0.25">
      <c r="A30" t="s">
        <v>60</v>
      </c>
      <c r="B30">
        <v>311</v>
      </c>
      <c r="C30">
        <v>274</v>
      </c>
      <c r="D30">
        <v>31</v>
      </c>
      <c r="E30">
        <v>6</v>
      </c>
      <c r="F30">
        <v>1006</v>
      </c>
      <c r="G30">
        <v>286</v>
      </c>
      <c r="H30">
        <v>2086</v>
      </c>
      <c r="I30">
        <f>VLOOKUP(A30,[1]project_size_report!$A:$F,6,0)</f>
        <v>382850</v>
      </c>
      <c r="J30" s="11">
        <v>26.030136986301368</v>
      </c>
      <c r="K30" t="str">
        <f t="shared" si="0"/>
        <v>Medium</v>
      </c>
      <c r="L30" s="1">
        <v>0.88</v>
      </c>
      <c r="M30" s="1">
        <f t="shared" si="1"/>
        <v>9.9678456591639875E-2</v>
      </c>
      <c r="N30" s="1">
        <f t="shared" si="2"/>
        <v>1.9292604501607719E-2</v>
      </c>
      <c r="O30" s="13" t="s">
        <v>386</v>
      </c>
    </row>
    <row r="31" spans="1:15" x14ac:dyDescent="0.25">
      <c r="A31" t="s">
        <v>61</v>
      </c>
      <c r="B31">
        <v>309</v>
      </c>
      <c r="C31">
        <v>202</v>
      </c>
      <c r="D31">
        <v>83</v>
      </c>
      <c r="E31">
        <v>24</v>
      </c>
      <c r="F31">
        <v>1179</v>
      </c>
      <c r="G31">
        <v>242</v>
      </c>
      <c r="H31">
        <v>2014</v>
      </c>
      <c r="I31">
        <f>VLOOKUP(A31,[1]project_size_report!$A:$F,6,0)</f>
        <v>397146</v>
      </c>
      <c r="J31" s="11">
        <v>14.09041095890411</v>
      </c>
      <c r="K31" t="str">
        <f t="shared" si="0"/>
        <v>Medium</v>
      </c>
      <c r="L31" s="1">
        <v>0.65</v>
      </c>
      <c r="M31" s="1">
        <f t="shared" si="1"/>
        <v>0.26860841423948217</v>
      </c>
      <c r="N31" s="1">
        <f t="shared" si="2"/>
        <v>7.7669902912621352E-2</v>
      </c>
      <c r="O31" t="s">
        <v>62</v>
      </c>
    </row>
    <row r="32" spans="1:15" x14ac:dyDescent="0.25">
      <c r="A32" t="s">
        <v>63</v>
      </c>
      <c r="B32">
        <v>308</v>
      </c>
      <c r="C32">
        <v>185</v>
      </c>
      <c r="D32">
        <v>97</v>
      </c>
      <c r="E32">
        <v>26</v>
      </c>
      <c r="F32">
        <v>4979</v>
      </c>
      <c r="G32">
        <v>1028</v>
      </c>
      <c r="H32">
        <v>4283</v>
      </c>
      <c r="I32">
        <f>VLOOKUP(A32,[1]project_size_report!$A:$F,6,0)</f>
        <v>970303</v>
      </c>
      <c r="J32" s="11">
        <v>24.13150684931507</v>
      </c>
      <c r="K32" t="str">
        <f t="shared" si="0"/>
        <v>Large</v>
      </c>
      <c r="L32" s="1">
        <v>0.6</v>
      </c>
      <c r="M32" s="1">
        <f t="shared" si="1"/>
        <v>0.31493506493506496</v>
      </c>
      <c r="N32" s="1">
        <f t="shared" si="2"/>
        <v>8.4415584415584416E-2</v>
      </c>
      <c r="O32" t="s">
        <v>64</v>
      </c>
    </row>
    <row r="33" spans="1:15" x14ac:dyDescent="0.25">
      <c r="A33" t="s">
        <v>65</v>
      </c>
      <c r="B33">
        <v>286</v>
      </c>
      <c r="C33">
        <v>222</v>
      </c>
      <c r="D33">
        <v>39</v>
      </c>
      <c r="E33">
        <v>25</v>
      </c>
      <c r="F33">
        <v>1993</v>
      </c>
      <c r="G33">
        <v>266</v>
      </c>
      <c r="H33">
        <v>2418</v>
      </c>
      <c r="I33">
        <f>VLOOKUP(A33,[1]project_size_report!$A:$F,6,0)</f>
        <v>610364</v>
      </c>
      <c r="J33" s="11">
        <v>11.739726027397261</v>
      </c>
      <c r="K33" t="str">
        <f t="shared" si="0"/>
        <v>Large</v>
      </c>
      <c r="L33" s="1">
        <v>0.78</v>
      </c>
      <c r="M33" s="1">
        <f t="shared" si="1"/>
        <v>0.13636363636363635</v>
      </c>
      <c r="N33" s="1">
        <f t="shared" si="2"/>
        <v>8.7412587412587409E-2</v>
      </c>
      <c r="O33" t="s">
        <v>66</v>
      </c>
    </row>
    <row r="34" spans="1:15" x14ac:dyDescent="0.25">
      <c r="A34" t="s">
        <v>67</v>
      </c>
      <c r="B34">
        <v>267</v>
      </c>
      <c r="C34">
        <v>251</v>
      </c>
      <c r="D34">
        <v>11</v>
      </c>
      <c r="E34">
        <v>5</v>
      </c>
      <c r="F34">
        <v>2662</v>
      </c>
      <c r="G34">
        <v>170</v>
      </c>
      <c r="H34">
        <v>474</v>
      </c>
      <c r="I34">
        <f>VLOOKUP(A34,[1]project_size_report!$A:$F,6,0)</f>
        <v>107223</v>
      </c>
      <c r="J34" s="11">
        <v>21.841095890410958</v>
      </c>
      <c r="K34" t="str">
        <f t="shared" si="0"/>
        <v>Medium</v>
      </c>
      <c r="L34" s="1">
        <v>0.94</v>
      </c>
      <c r="M34" s="1">
        <f t="shared" si="1"/>
        <v>4.1198501872659173E-2</v>
      </c>
      <c r="N34" s="1">
        <f t="shared" si="2"/>
        <v>1.8726591760299626E-2</v>
      </c>
      <c r="O34" t="s">
        <v>68</v>
      </c>
    </row>
    <row r="35" spans="1:15" x14ac:dyDescent="0.25">
      <c r="A35" t="s">
        <v>69</v>
      </c>
      <c r="B35">
        <v>263</v>
      </c>
      <c r="C35">
        <v>254</v>
      </c>
      <c r="D35">
        <v>3</v>
      </c>
      <c r="E35">
        <v>6</v>
      </c>
      <c r="F35">
        <v>1285</v>
      </c>
      <c r="G35">
        <v>246</v>
      </c>
      <c r="H35">
        <v>1795</v>
      </c>
      <c r="I35">
        <f>VLOOKUP(A35,[1]project_size_report!$A:$F,6,0)</f>
        <v>229813</v>
      </c>
      <c r="J35" s="11">
        <v>16.073972602739726</v>
      </c>
      <c r="K35" t="str">
        <f t="shared" si="0"/>
        <v>Medium</v>
      </c>
      <c r="L35" s="1">
        <v>0.97</v>
      </c>
      <c r="M35" s="1">
        <f t="shared" si="1"/>
        <v>1.1406844106463879E-2</v>
      </c>
      <c r="N35" s="1">
        <f t="shared" si="2"/>
        <v>2.2813688212927757E-2</v>
      </c>
      <c r="O35" t="s">
        <v>70</v>
      </c>
    </row>
    <row r="36" spans="1:15" x14ac:dyDescent="0.25">
      <c r="A36" t="s">
        <v>71</v>
      </c>
      <c r="B36">
        <v>263</v>
      </c>
      <c r="C36">
        <v>136</v>
      </c>
      <c r="D36">
        <v>54</v>
      </c>
      <c r="E36">
        <v>73</v>
      </c>
      <c r="F36">
        <v>1801</v>
      </c>
      <c r="G36">
        <v>229</v>
      </c>
      <c r="H36">
        <v>913</v>
      </c>
      <c r="I36">
        <f>VLOOKUP(A36,[1]project_size_report!$A:$F,6,0)</f>
        <v>152116</v>
      </c>
      <c r="J36" s="11">
        <v>19.849315068493151</v>
      </c>
      <c r="K36" t="str">
        <f t="shared" si="0"/>
        <v>Medium</v>
      </c>
      <c r="L36" s="1">
        <v>0.52</v>
      </c>
      <c r="M36" s="1">
        <f t="shared" si="1"/>
        <v>0.20532319391634982</v>
      </c>
      <c r="N36" s="1">
        <f t="shared" si="2"/>
        <v>0.27756653992395436</v>
      </c>
      <c r="O36" t="s">
        <v>72</v>
      </c>
    </row>
    <row r="37" spans="1:15" x14ac:dyDescent="0.25">
      <c r="A37" t="s">
        <v>73</v>
      </c>
      <c r="B37">
        <v>234</v>
      </c>
      <c r="C37">
        <v>202</v>
      </c>
      <c r="D37">
        <v>20</v>
      </c>
      <c r="E37">
        <v>12</v>
      </c>
      <c r="F37">
        <v>10147</v>
      </c>
      <c r="G37">
        <v>1835</v>
      </c>
      <c r="H37">
        <v>5930</v>
      </c>
      <c r="I37">
        <f>VLOOKUP(A37,[1]project_size_report!$A:$F,6,0)</f>
        <v>1301995</v>
      </c>
      <c r="J37" s="11">
        <v>16.556164383561644</v>
      </c>
      <c r="K37" t="str">
        <f t="shared" si="0"/>
        <v>Large</v>
      </c>
      <c r="L37" s="1">
        <v>0.86</v>
      </c>
      <c r="M37" s="1">
        <f t="shared" si="1"/>
        <v>8.5470085470085472E-2</v>
      </c>
      <c r="N37" s="1">
        <f t="shared" si="2"/>
        <v>5.128205128205128E-2</v>
      </c>
      <c r="O37" t="s">
        <v>74</v>
      </c>
    </row>
    <row r="38" spans="1:15" x14ac:dyDescent="0.25">
      <c r="A38" t="s">
        <v>75</v>
      </c>
      <c r="B38">
        <v>228</v>
      </c>
      <c r="C38">
        <v>167</v>
      </c>
      <c r="D38">
        <v>23</v>
      </c>
      <c r="E38">
        <v>38</v>
      </c>
      <c r="F38">
        <v>1853</v>
      </c>
      <c r="G38">
        <v>518</v>
      </c>
      <c r="H38">
        <v>1536</v>
      </c>
      <c r="I38">
        <f>VLOOKUP(A38,[1]project_size_report!$A:$F,6,0)</f>
        <v>297117</v>
      </c>
      <c r="J38" s="11">
        <v>14.312328767123288</v>
      </c>
      <c r="K38" t="str">
        <f t="shared" si="0"/>
        <v>Medium</v>
      </c>
      <c r="L38" s="1">
        <v>0.73</v>
      </c>
      <c r="M38" s="1">
        <f t="shared" si="1"/>
        <v>0.10087719298245613</v>
      </c>
      <c r="N38" s="1">
        <f t="shared" si="2"/>
        <v>0.16666666666666666</v>
      </c>
      <c r="O38" t="s">
        <v>76</v>
      </c>
    </row>
    <row r="39" spans="1:15" x14ac:dyDescent="0.25">
      <c r="A39" t="s">
        <v>77</v>
      </c>
      <c r="B39">
        <v>202</v>
      </c>
      <c r="C39">
        <v>181</v>
      </c>
      <c r="D39">
        <v>18</v>
      </c>
      <c r="E39">
        <v>3</v>
      </c>
      <c r="F39">
        <v>4108</v>
      </c>
      <c r="G39">
        <v>726</v>
      </c>
      <c r="H39">
        <v>3898</v>
      </c>
      <c r="I39">
        <f>VLOOKUP(A39,[1]project_size_report!$A:$F,6,0)</f>
        <v>467166</v>
      </c>
      <c r="J39" s="11">
        <v>18.769863013698629</v>
      </c>
      <c r="K39" t="str">
        <f t="shared" si="0"/>
        <v>Medium</v>
      </c>
      <c r="L39" s="1">
        <v>0.9</v>
      </c>
      <c r="M39" s="1">
        <f t="shared" si="1"/>
        <v>8.9108910891089105E-2</v>
      </c>
      <c r="N39" s="1">
        <f t="shared" si="2"/>
        <v>1.4851485148514851E-2</v>
      </c>
      <c r="O39" t="s">
        <v>78</v>
      </c>
    </row>
    <row r="40" spans="1:15" x14ac:dyDescent="0.25">
      <c r="A40" t="s">
        <v>79</v>
      </c>
      <c r="B40">
        <v>194</v>
      </c>
      <c r="C40">
        <v>153</v>
      </c>
      <c r="D40">
        <v>26</v>
      </c>
      <c r="E40">
        <v>15</v>
      </c>
      <c r="F40">
        <v>1594</v>
      </c>
      <c r="G40">
        <v>194</v>
      </c>
      <c r="H40">
        <v>1012</v>
      </c>
      <c r="I40">
        <f>VLOOKUP(A40,[1]project_size_report!$A:$F,6,0)</f>
        <v>153261</v>
      </c>
      <c r="J40" s="11">
        <v>20.712328767123289</v>
      </c>
      <c r="K40" t="str">
        <f t="shared" si="0"/>
        <v>Medium</v>
      </c>
      <c r="L40" s="1">
        <v>0.79</v>
      </c>
      <c r="M40" s="1">
        <f t="shared" si="1"/>
        <v>0.13402061855670103</v>
      </c>
      <c r="N40" s="1">
        <f t="shared" si="2"/>
        <v>7.7319587628865982E-2</v>
      </c>
      <c r="O40" t="s">
        <v>80</v>
      </c>
    </row>
    <row r="41" spans="1:15" x14ac:dyDescent="0.25">
      <c r="A41" t="s">
        <v>81</v>
      </c>
      <c r="B41">
        <v>168</v>
      </c>
      <c r="C41">
        <v>103</v>
      </c>
      <c r="D41">
        <v>28</v>
      </c>
      <c r="E41">
        <v>37</v>
      </c>
      <c r="F41">
        <v>1100</v>
      </c>
      <c r="G41">
        <v>208</v>
      </c>
      <c r="H41">
        <v>1394</v>
      </c>
      <c r="I41">
        <f>VLOOKUP(A41,[1]project_size_report!$A:$F,6,0)</f>
        <v>283344</v>
      </c>
      <c r="J41" s="11">
        <v>13.454794520547946</v>
      </c>
      <c r="K41" t="str">
        <f t="shared" si="0"/>
        <v>Medium</v>
      </c>
      <c r="L41" s="1">
        <v>0.61</v>
      </c>
      <c r="M41" s="1">
        <f t="shared" si="1"/>
        <v>0.16666666666666666</v>
      </c>
      <c r="N41" s="1">
        <f t="shared" si="2"/>
        <v>0.22023809523809523</v>
      </c>
      <c r="O41" t="s">
        <v>82</v>
      </c>
    </row>
    <row r="42" spans="1:15" x14ac:dyDescent="0.25">
      <c r="A42" t="s">
        <v>83</v>
      </c>
      <c r="B42">
        <v>168</v>
      </c>
      <c r="C42">
        <v>88</v>
      </c>
      <c r="D42">
        <v>67</v>
      </c>
      <c r="E42">
        <v>13</v>
      </c>
      <c r="F42">
        <v>584</v>
      </c>
      <c r="G42">
        <v>217</v>
      </c>
      <c r="H42">
        <v>2148</v>
      </c>
      <c r="I42">
        <f>VLOOKUP(A42,[1]project_size_report!$A:$F,6,0)</f>
        <v>199342</v>
      </c>
      <c r="J42" s="11">
        <v>9.9698630136986299</v>
      </c>
      <c r="K42" t="str">
        <f t="shared" si="0"/>
        <v>Medium</v>
      </c>
      <c r="L42" s="1">
        <v>0.52</v>
      </c>
      <c r="M42" s="1">
        <f t="shared" si="1"/>
        <v>0.39880952380952384</v>
      </c>
      <c r="N42" s="1">
        <f t="shared" si="2"/>
        <v>7.7380952380952384E-2</v>
      </c>
      <c r="O42" t="s">
        <v>84</v>
      </c>
    </row>
    <row r="43" spans="1:15" x14ac:dyDescent="0.25">
      <c r="A43" t="s">
        <v>85</v>
      </c>
      <c r="B43">
        <v>156</v>
      </c>
      <c r="C43">
        <v>122</v>
      </c>
      <c r="D43">
        <v>24</v>
      </c>
      <c r="E43">
        <v>10</v>
      </c>
      <c r="F43">
        <v>2799</v>
      </c>
      <c r="G43">
        <v>1035</v>
      </c>
      <c r="H43">
        <v>3054</v>
      </c>
      <c r="I43">
        <f>VLOOKUP(A43,[1]project_size_report!$A:$F,6,0)</f>
        <v>357465</v>
      </c>
      <c r="J43" s="11">
        <v>22.156164383561645</v>
      </c>
      <c r="K43" t="str">
        <f t="shared" si="0"/>
        <v>Medium</v>
      </c>
      <c r="L43" s="1">
        <v>0.78</v>
      </c>
      <c r="M43" s="1">
        <f t="shared" si="1"/>
        <v>0.15384615384615385</v>
      </c>
      <c r="N43" s="1">
        <f t="shared" si="2"/>
        <v>6.4102564102564097E-2</v>
      </c>
      <c r="O43" t="s">
        <v>86</v>
      </c>
    </row>
    <row r="44" spans="1:15" x14ac:dyDescent="0.25">
      <c r="A44" t="s">
        <v>87</v>
      </c>
      <c r="B44">
        <v>154</v>
      </c>
      <c r="C44">
        <v>41</v>
      </c>
      <c r="D44">
        <v>93</v>
      </c>
      <c r="E44">
        <v>20</v>
      </c>
      <c r="F44">
        <v>497</v>
      </c>
      <c r="G44">
        <v>89</v>
      </c>
      <c r="H44">
        <v>781</v>
      </c>
      <c r="I44">
        <f>VLOOKUP(A44,[1]project_size_report!$A:$F,6,0)</f>
        <v>82873</v>
      </c>
      <c r="J44" s="11">
        <v>14.616438356164384</v>
      </c>
      <c r="K44" t="str">
        <f t="shared" si="0"/>
        <v>Small</v>
      </c>
      <c r="L44" s="1">
        <v>0.27</v>
      </c>
      <c r="M44" s="1">
        <f t="shared" si="1"/>
        <v>0.60389610389610393</v>
      </c>
      <c r="N44" s="1">
        <f t="shared" si="2"/>
        <v>0.12987012987012986</v>
      </c>
      <c r="O44" t="s">
        <v>88</v>
      </c>
    </row>
    <row r="45" spans="1:15" x14ac:dyDescent="0.25">
      <c r="A45" t="s">
        <v>89</v>
      </c>
      <c r="B45">
        <v>149</v>
      </c>
      <c r="C45">
        <v>116</v>
      </c>
      <c r="D45">
        <v>22</v>
      </c>
      <c r="E45">
        <v>11</v>
      </c>
      <c r="F45">
        <v>1774</v>
      </c>
      <c r="G45">
        <v>504</v>
      </c>
      <c r="H45">
        <v>3964</v>
      </c>
      <c r="I45">
        <f>VLOOKUP(A45,[1]project_size_report!$A:$F,6,0)</f>
        <v>539797</v>
      </c>
      <c r="J45" s="11">
        <v>8.2246575342465746</v>
      </c>
      <c r="K45" t="str">
        <f t="shared" si="0"/>
        <v>Large</v>
      </c>
      <c r="L45" s="1">
        <v>0.78</v>
      </c>
      <c r="M45" s="1">
        <f t="shared" si="1"/>
        <v>0.1476510067114094</v>
      </c>
      <c r="N45" s="1">
        <f t="shared" si="2"/>
        <v>7.3825503355704702E-2</v>
      </c>
      <c r="O45" t="s">
        <v>90</v>
      </c>
    </row>
    <row r="46" spans="1:15" x14ac:dyDescent="0.25">
      <c r="A46" t="s">
        <v>91</v>
      </c>
      <c r="B46">
        <v>147</v>
      </c>
      <c r="C46">
        <v>82</v>
      </c>
      <c r="D46">
        <v>49</v>
      </c>
      <c r="E46">
        <v>16</v>
      </c>
      <c r="F46">
        <v>3487</v>
      </c>
      <c r="G46">
        <v>773</v>
      </c>
      <c r="H46">
        <v>2562</v>
      </c>
      <c r="I46">
        <f>VLOOKUP(A46,[1]project_size_report!$A:$F,6,0)</f>
        <v>344976</v>
      </c>
      <c r="J46" s="11">
        <v>15.482191780821918</v>
      </c>
      <c r="K46" t="str">
        <f t="shared" si="0"/>
        <v>Medium</v>
      </c>
      <c r="L46" s="1">
        <v>0.56000000000000005</v>
      </c>
      <c r="M46" s="1">
        <f t="shared" si="1"/>
        <v>0.33333333333333331</v>
      </c>
      <c r="N46" s="1">
        <f t="shared" si="2"/>
        <v>0.10884353741496598</v>
      </c>
      <c r="O46" t="s">
        <v>92</v>
      </c>
    </row>
    <row r="47" spans="1:15" x14ac:dyDescent="0.25">
      <c r="A47" t="s">
        <v>93</v>
      </c>
      <c r="B47">
        <v>145</v>
      </c>
      <c r="C47">
        <v>102</v>
      </c>
      <c r="D47">
        <v>33</v>
      </c>
      <c r="E47">
        <v>10</v>
      </c>
      <c r="F47">
        <v>1091</v>
      </c>
      <c r="G47">
        <v>209</v>
      </c>
      <c r="H47">
        <v>834</v>
      </c>
      <c r="I47">
        <f>VLOOKUP(A47,[1]project_size_report!$A:$F,6,0)</f>
        <v>205129</v>
      </c>
      <c r="J47" s="11">
        <v>12.347945205479451</v>
      </c>
      <c r="K47" t="str">
        <f t="shared" si="0"/>
        <v>Medium</v>
      </c>
      <c r="L47" s="1">
        <v>0.7</v>
      </c>
      <c r="M47" s="1">
        <f t="shared" si="1"/>
        <v>0.22758620689655173</v>
      </c>
      <c r="N47" s="1">
        <f t="shared" si="2"/>
        <v>6.8965517241379309E-2</v>
      </c>
      <c r="O47" t="s">
        <v>94</v>
      </c>
    </row>
    <row r="48" spans="1:15" x14ac:dyDescent="0.25">
      <c r="A48" t="s">
        <v>95</v>
      </c>
      <c r="B48">
        <v>123</v>
      </c>
      <c r="C48">
        <v>116</v>
      </c>
      <c r="D48">
        <v>4</v>
      </c>
      <c r="E48">
        <v>3</v>
      </c>
      <c r="F48">
        <v>954</v>
      </c>
      <c r="G48">
        <v>166</v>
      </c>
      <c r="H48">
        <v>886</v>
      </c>
      <c r="I48">
        <f>VLOOKUP(A48,[1]project_size_report!$A:$F,6,0)</f>
        <v>165775</v>
      </c>
      <c r="J48" s="11">
        <v>6.4602739726027396</v>
      </c>
      <c r="K48" t="str">
        <f t="shared" si="0"/>
        <v>Medium</v>
      </c>
      <c r="L48" s="1">
        <v>0.94</v>
      </c>
      <c r="M48" s="1">
        <f t="shared" si="1"/>
        <v>3.2520325203252036E-2</v>
      </c>
      <c r="N48" s="1">
        <f t="shared" si="2"/>
        <v>2.4390243902439025E-2</v>
      </c>
      <c r="O48" t="s">
        <v>96</v>
      </c>
    </row>
    <row r="49" spans="1:15" x14ac:dyDescent="0.25">
      <c r="A49" t="s">
        <v>97</v>
      </c>
      <c r="B49">
        <v>113</v>
      </c>
      <c r="C49">
        <v>60</v>
      </c>
      <c r="D49">
        <v>13</v>
      </c>
      <c r="E49">
        <v>40</v>
      </c>
      <c r="F49">
        <v>1689</v>
      </c>
      <c r="G49">
        <v>285</v>
      </c>
      <c r="H49">
        <v>3249</v>
      </c>
      <c r="I49">
        <f>VLOOKUP(A49,[1]project_size_report!$A:$F,6,0)</f>
        <v>394497</v>
      </c>
      <c r="J49" s="11">
        <v>15.498630136986302</v>
      </c>
      <c r="K49" t="str">
        <f t="shared" si="0"/>
        <v>Medium</v>
      </c>
      <c r="L49" s="1">
        <v>0.53</v>
      </c>
      <c r="M49" s="1">
        <f t="shared" si="1"/>
        <v>0.11504424778761062</v>
      </c>
      <c r="N49" s="1">
        <f t="shared" si="2"/>
        <v>0.35398230088495575</v>
      </c>
      <c r="O49" t="s">
        <v>98</v>
      </c>
    </row>
    <row r="50" spans="1:15" x14ac:dyDescent="0.25">
      <c r="A50" t="s">
        <v>99</v>
      </c>
      <c r="B50">
        <v>112</v>
      </c>
      <c r="C50">
        <v>98</v>
      </c>
      <c r="D50">
        <v>7</v>
      </c>
      <c r="E50">
        <v>7</v>
      </c>
      <c r="F50">
        <v>1759</v>
      </c>
      <c r="G50">
        <v>359</v>
      </c>
      <c r="H50">
        <v>958</v>
      </c>
      <c r="I50">
        <f>VLOOKUP(A50,[1]project_size_report!$A:$F,6,0)</f>
        <v>191857</v>
      </c>
      <c r="J50" s="11">
        <v>17.399999999999999</v>
      </c>
      <c r="K50" t="str">
        <f t="shared" si="0"/>
        <v>Medium</v>
      </c>
      <c r="L50" s="1">
        <v>0.88</v>
      </c>
      <c r="M50" s="1">
        <f t="shared" si="1"/>
        <v>6.25E-2</v>
      </c>
      <c r="N50" s="1">
        <f t="shared" si="2"/>
        <v>6.25E-2</v>
      </c>
      <c r="O50" t="s">
        <v>100</v>
      </c>
    </row>
    <row r="51" spans="1:15" x14ac:dyDescent="0.25">
      <c r="A51" t="s">
        <v>101</v>
      </c>
      <c r="B51">
        <v>104</v>
      </c>
      <c r="C51">
        <v>17</v>
      </c>
      <c r="D51">
        <v>72</v>
      </c>
      <c r="E51">
        <v>15</v>
      </c>
      <c r="F51">
        <v>2124</v>
      </c>
      <c r="G51">
        <v>517</v>
      </c>
      <c r="H51">
        <v>4586</v>
      </c>
      <c r="I51">
        <f>VLOOKUP(A51,[1]project_size_report!$A:$F,6,0)</f>
        <v>454823</v>
      </c>
      <c r="J51" s="11">
        <v>21.24931506849315</v>
      </c>
      <c r="K51" t="str">
        <f t="shared" si="0"/>
        <v>Medium</v>
      </c>
      <c r="L51" s="1">
        <v>0.16</v>
      </c>
      <c r="M51" s="1">
        <f t="shared" si="1"/>
        <v>0.69230769230769229</v>
      </c>
      <c r="N51" s="1">
        <f t="shared" si="2"/>
        <v>0.14423076923076922</v>
      </c>
      <c r="O51" t="s">
        <v>102</v>
      </c>
    </row>
    <row r="52" spans="1:15" x14ac:dyDescent="0.25">
      <c r="A52" t="s">
        <v>103</v>
      </c>
      <c r="B52">
        <v>104</v>
      </c>
      <c r="C52">
        <v>58</v>
      </c>
      <c r="D52">
        <v>30</v>
      </c>
      <c r="E52">
        <v>16</v>
      </c>
      <c r="F52">
        <v>1285</v>
      </c>
      <c r="G52">
        <v>198</v>
      </c>
      <c r="H52">
        <v>719</v>
      </c>
      <c r="I52">
        <f>VLOOKUP(A52,[1]project_size_report!$A:$F,6,0)</f>
        <v>131017</v>
      </c>
      <c r="J52" s="11">
        <v>9.7643835616438359</v>
      </c>
      <c r="K52" t="str">
        <f t="shared" si="0"/>
        <v>Medium</v>
      </c>
      <c r="L52" s="1">
        <v>0.56000000000000005</v>
      </c>
      <c r="M52" s="1">
        <f t="shared" si="1"/>
        <v>0.28846153846153844</v>
      </c>
      <c r="N52" s="1">
        <f t="shared" si="2"/>
        <v>0.15384615384615385</v>
      </c>
      <c r="O52" t="s">
        <v>104</v>
      </c>
    </row>
    <row r="53" spans="1:15" x14ac:dyDescent="0.25">
      <c r="A53" t="s">
        <v>105</v>
      </c>
      <c r="B53">
        <v>103</v>
      </c>
      <c r="C53">
        <v>29</v>
      </c>
      <c r="D53">
        <v>21</v>
      </c>
      <c r="E53">
        <v>53</v>
      </c>
      <c r="F53">
        <v>501</v>
      </c>
      <c r="G53">
        <v>101</v>
      </c>
      <c r="H53">
        <v>711</v>
      </c>
      <c r="I53">
        <f>VLOOKUP(A53,[1]project_size_report!$A:$F,6,0)</f>
        <v>141601</v>
      </c>
      <c r="J53" s="11">
        <v>11.175342465753424</v>
      </c>
      <c r="K53" t="str">
        <f t="shared" si="0"/>
        <v>Medium</v>
      </c>
      <c r="L53" s="1">
        <v>0.28000000000000003</v>
      </c>
      <c r="M53" s="1">
        <f t="shared" si="1"/>
        <v>0.20388349514563106</v>
      </c>
      <c r="N53" s="1">
        <f t="shared" si="2"/>
        <v>0.5145631067961165</v>
      </c>
      <c r="O53" t="s">
        <v>106</v>
      </c>
    </row>
    <row r="54" spans="1:15" x14ac:dyDescent="0.25">
      <c r="A54" t="s">
        <v>107</v>
      </c>
      <c r="B54">
        <v>97</v>
      </c>
      <c r="C54">
        <v>83</v>
      </c>
      <c r="D54">
        <v>9</v>
      </c>
      <c r="E54">
        <v>5</v>
      </c>
      <c r="F54">
        <v>482</v>
      </c>
      <c r="G54">
        <v>119</v>
      </c>
      <c r="H54">
        <v>857</v>
      </c>
      <c r="I54">
        <f>VLOOKUP(A54,[1]project_size_report!$A:$F,6,0)</f>
        <v>95127</v>
      </c>
      <c r="J54" s="11">
        <v>20.290410958904111</v>
      </c>
      <c r="K54" t="str">
        <f t="shared" si="0"/>
        <v>Small</v>
      </c>
      <c r="L54" s="1">
        <v>0.86</v>
      </c>
      <c r="M54" s="1">
        <f t="shared" si="1"/>
        <v>9.2783505154639179E-2</v>
      </c>
      <c r="N54" s="1">
        <f t="shared" si="2"/>
        <v>5.1546391752577317E-2</v>
      </c>
      <c r="O54" t="s">
        <v>108</v>
      </c>
    </row>
    <row r="55" spans="1:15" x14ac:dyDescent="0.25">
      <c r="A55" t="s">
        <v>109</v>
      </c>
      <c r="B55">
        <v>87</v>
      </c>
      <c r="C55">
        <v>50</v>
      </c>
      <c r="D55">
        <v>28</v>
      </c>
      <c r="E55">
        <v>9</v>
      </c>
      <c r="F55">
        <v>1486</v>
      </c>
      <c r="G55">
        <v>667</v>
      </c>
      <c r="H55">
        <v>5354</v>
      </c>
      <c r="I55">
        <f>VLOOKUP(A55,[1]project_size_report!$A:$F,6,0)</f>
        <v>708440</v>
      </c>
      <c r="J55" s="11">
        <v>6.1232876712328768</v>
      </c>
      <c r="K55" t="str">
        <f t="shared" si="0"/>
        <v>Large</v>
      </c>
      <c r="L55" s="1">
        <v>0.56999999999999995</v>
      </c>
      <c r="M55" s="1">
        <f t="shared" si="1"/>
        <v>0.32183908045977011</v>
      </c>
      <c r="N55" s="1">
        <f t="shared" si="2"/>
        <v>0.10344827586206896</v>
      </c>
      <c r="O55" t="s">
        <v>110</v>
      </c>
    </row>
    <row r="56" spans="1:15" x14ac:dyDescent="0.25">
      <c r="A56" t="s">
        <v>111</v>
      </c>
      <c r="B56">
        <v>87</v>
      </c>
      <c r="C56">
        <v>71</v>
      </c>
      <c r="D56">
        <v>8</v>
      </c>
      <c r="E56">
        <v>8</v>
      </c>
      <c r="F56">
        <v>2712</v>
      </c>
      <c r="G56">
        <v>641</v>
      </c>
      <c r="H56">
        <v>3318</v>
      </c>
      <c r="I56">
        <f>VLOOKUP(A56,[1]project_size_report!$A:$F,6,0)</f>
        <v>429271</v>
      </c>
      <c r="J56" s="11">
        <v>21.093150684931508</v>
      </c>
      <c r="K56" t="str">
        <f t="shared" si="0"/>
        <v>Medium</v>
      </c>
      <c r="L56" s="1">
        <v>0.82</v>
      </c>
      <c r="M56" s="1">
        <f t="shared" si="1"/>
        <v>9.1954022988505746E-2</v>
      </c>
      <c r="N56" s="1">
        <f t="shared" si="2"/>
        <v>9.1954022988505746E-2</v>
      </c>
      <c r="O56" t="s">
        <v>112</v>
      </c>
    </row>
    <row r="57" spans="1:15" x14ac:dyDescent="0.25">
      <c r="A57" t="s">
        <v>113</v>
      </c>
      <c r="B57">
        <v>81</v>
      </c>
      <c r="C57">
        <v>52</v>
      </c>
      <c r="D57">
        <v>18</v>
      </c>
      <c r="E57">
        <v>11</v>
      </c>
      <c r="F57">
        <v>1034</v>
      </c>
      <c r="G57">
        <v>167</v>
      </c>
      <c r="H57">
        <v>0</v>
      </c>
      <c r="I57">
        <f>VLOOKUP(A57,[1]project_size_report!$A:$F,6,0)</f>
        <v>97824</v>
      </c>
      <c r="J57" s="11">
        <v>13.183561643835617</v>
      </c>
      <c r="K57" t="str">
        <f t="shared" si="0"/>
        <v>Small</v>
      </c>
      <c r="L57" s="1">
        <v>0.64</v>
      </c>
      <c r="M57" s="1">
        <f t="shared" si="1"/>
        <v>0.22222222222222221</v>
      </c>
      <c r="N57" s="1">
        <f t="shared" si="2"/>
        <v>0.13580246913580246</v>
      </c>
      <c r="O57" t="s">
        <v>114</v>
      </c>
    </row>
    <row r="58" spans="1:15" x14ac:dyDescent="0.25">
      <c r="A58" t="s">
        <v>115</v>
      </c>
      <c r="B58">
        <v>77</v>
      </c>
      <c r="C58">
        <v>24</v>
      </c>
      <c r="D58">
        <v>37</v>
      </c>
      <c r="E58">
        <v>16</v>
      </c>
      <c r="F58">
        <v>426</v>
      </c>
      <c r="G58">
        <v>150</v>
      </c>
      <c r="H58">
        <v>1684</v>
      </c>
      <c r="I58">
        <f>VLOOKUP(A58,[1]project_size_report!$A:$F,6,0)</f>
        <v>161838</v>
      </c>
      <c r="J58" s="11">
        <v>5.6520547945205477</v>
      </c>
      <c r="K58" t="str">
        <f t="shared" si="0"/>
        <v>Medium</v>
      </c>
      <c r="L58" s="1">
        <v>0.31</v>
      </c>
      <c r="M58" s="1">
        <f t="shared" si="1"/>
        <v>0.48051948051948051</v>
      </c>
      <c r="N58" s="1">
        <f t="shared" si="2"/>
        <v>0.20779220779220781</v>
      </c>
      <c r="O58" t="s">
        <v>116</v>
      </c>
    </row>
    <row r="59" spans="1:15" x14ac:dyDescent="0.25">
      <c r="A59" t="s">
        <v>117</v>
      </c>
      <c r="B59">
        <v>76</v>
      </c>
      <c r="C59">
        <v>67</v>
      </c>
      <c r="D59">
        <v>2</v>
      </c>
      <c r="E59">
        <v>7</v>
      </c>
      <c r="F59">
        <v>183</v>
      </c>
      <c r="G59">
        <v>124</v>
      </c>
      <c r="H59">
        <v>1374</v>
      </c>
      <c r="I59">
        <f>VLOOKUP(A59,[1]project_size_report!$A:$F,6,0)</f>
        <v>345705</v>
      </c>
      <c r="J59" s="11">
        <v>15.731506849315069</v>
      </c>
      <c r="K59" t="str">
        <f t="shared" si="0"/>
        <v>Medium</v>
      </c>
      <c r="L59" s="1">
        <v>0.88</v>
      </c>
      <c r="M59" s="1">
        <f t="shared" si="1"/>
        <v>2.6315789473684209E-2</v>
      </c>
      <c r="N59" s="1">
        <f t="shared" si="2"/>
        <v>9.2105263157894732E-2</v>
      </c>
      <c r="O59" t="s">
        <v>118</v>
      </c>
    </row>
    <row r="60" spans="1:15" x14ac:dyDescent="0.25">
      <c r="A60" t="s">
        <v>119</v>
      </c>
      <c r="B60">
        <v>75</v>
      </c>
      <c r="C60">
        <v>23</v>
      </c>
      <c r="D60">
        <v>43</v>
      </c>
      <c r="E60">
        <v>9</v>
      </c>
      <c r="F60">
        <v>1512</v>
      </c>
      <c r="G60">
        <v>239</v>
      </c>
      <c r="H60">
        <v>850</v>
      </c>
      <c r="I60">
        <f>VLOOKUP(A60,[1]project_size_report!$A:$F,6,0)</f>
        <v>176574</v>
      </c>
      <c r="J60" s="11">
        <v>6.7150684931506852</v>
      </c>
      <c r="K60" t="str">
        <f t="shared" si="0"/>
        <v>Medium</v>
      </c>
      <c r="L60" s="1">
        <v>0.31</v>
      </c>
      <c r="M60" s="1">
        <f t="shared" si="1"/>
        <v>0.57333333333333336</v>
      </c>
      <c r="N60" s="1">
        <f t="shared" si="2"/>
        <v>0.12</v>
      </c>
      <c r="O60" t="s">
        <v>120</v>
      </c>
    </row>
    <row r="61" spans="1:15" x14ac:dyDescent="0.25">
      <c r="A61" t="s">
        <v>121</v>
      </c>
      <c r="B61">
        <v>75</v>
      </c>
      <c r="C61">
        <v>68</v>
      </c>
      <c r="D61">
        <v>4</v>
      </c>
      <c r="E61">
        <v>3</v>
      </c>
      <c r="F61">
        <v>14646</v>
      </c>
      <c r="G61">
        <v>2789</v>
      </c>
      <c r="H61">
        <v>10447</v>
      </c>
      <c r="I61">
        <f>VLOOKUP(A61,[1]project_size_report!$A:$F,6,0)</f>
        <v>2300066</v>
      </c>
      <c r="J61" s="11">
        <v>11.682191780821919</v>
      </c>
      <c r="K61" t="str">
        <f t="shared" si="0"/>
        <v>Large</v>
      </c>
      <c r="L61" s="1">
        <v>0.91</v>
      </c>
      <c r="M61" s="1">
        <f t="shared" si="1"/>
        <v>5.3333333333333337E-2</v>
      </c>
      <c r="N61" s="1">
        <f t="shared" si="2"/>
        <v>0.04</v>
      </c>
      <c r="O61" t="s">
        <v>122</v>
      </c>
    </row>
    <row r="62" spans="1:15" x14ac:dyDescent="0.25">
      <c r="A62" t="s">
        <v>123</v>
      </c>
      <c r="B62">
        <v>75</v>
      </c>
      <c r="C62">
        <v>61</v>
      </c>
      <c r="D62">
        <v>12</v>
      </c>
      <c r="E62">
        <v>2</v>
      </c>
      <c r="F62">
        <v>1085</v>
      </c>
      <c r="G62">
        <v>188</v>
      </c>
      <c r="H62">
        <v>1215</v>
      </c>
      <c r="I62">
        <f>VLOOKUP(A62,[1]project_size_report!$A:$F,6,0)</f>
        <v>173555</v>
      </c>
      <c r="J62" s="11">
        <v>15.583561643835617</v>
      </c>
      <c r="K62" t="str">
        <f t="shared" si="0"/>
        <v>Medium</v>
      </c>
      <c r="L62" s="1">
        <v>0.81</v>
      </c>
      <c r="M62" s="1">
        <f t="shared" si="1"/>
        <v>0.16</v>
      </c>
      <c r="N62" s="1">
        <f t="shared" si="2"/>
        <v>2.6666666666666668E-2</v>
      </c>
      <c r="O62" t="s">
        <v>124</v>
      </c>
    </row>
    <row r="63" spans="1:15" x14ac:dyDescent="0.25">
      <c r="A63" t="s">
        <v>125</v>
      </c>
      <c r="B63">
        <v>73</v>
      </c>
      <c r="C63">
        <v>71</v>
      </c>
      <c r="D63">
        <v>2</v>
      </c>
      <c r="E63">
        <v>0</v>
      </c>
      <c r="F63">
        <v>2604</v>
      </c>
      <c r="G63">
        <v>232</v>
      </c>
      <c r="H63">
        <v>551</v>
      </c>
      <c r="I63">
        <f>VLOOKUP(A63,[1]project_size_report!$A:$F,6,0)</f>
        <v>117157</v>
      </c>
      <c r="J63" s="11">
        <v>23.761643835616439</v>
      </c>
      <c r="K63" t="str">
        <f t="shared" si="0"/>
        <v>Medium</v>
      </c>
      <c r="L63" s="1">
        <v>0.97</v>
      </c>
      <c r="M63" s="1">
        <f t="shared" si="1"/>
        <v>2.7397260273972601E-2</v>
      </c>
      <c r="N63" s="1">
        <f t="shared" si="2"/>
        <v>0</v>
      </c>
      <c r="O63" t="s">
        <v>126</v>
      </c>
    </row>
    <row r="64" spans="1:15" x14ac:dyDescent="0.25">
      <c r="A64" t="s">
        <v>127</v>
      </c>
      <c r="B64">
        <v>71</v>
      </c>
      <c r="C64">
        <v>47</v>
      </c>
      <c r="D64">
        <v>9</v>
      </c>
      <c r="E64">
        <v>15</v>
      </c>
      <c r="F64">
        <v>517</v>
      </c>
      <c r="G64">
        <v>106</v>
      </c>
      <c r="H64">
        <v>730</v>
      </c>
      <c r="I64">
        <f>VLOOKUP(A64,[1]project_size_report!$A:$F,6,0)</f>
        <v>88601</v>
      </c>
      <c r="J64" s="11">
        <v>9.3287671232876708</v>
      </c>
      <c r="K64" t="str">
        <f t="shared" si="0"/>
        <v>Small</v>
      </c>
      <c r="L64" s="1">
        <v>0.66</v>
      </c>
      <c r="M64" s="1">
        <f t="shared" si="1"/>
        <v>0.12676056338028169</v>
      </c>
      <c r="N64" s="1">
        <f t="shared" si="2"/>
        <v>0.21126760563380281</v>
      </c>
      <c r="O64" t="s">
        <v>128</v>
      </c>
    </row>
    <row r="65" spans="1:15" x14ac:dyDescent="0.25">
      <c r="A65" t="s">
        <v>129</v>
      </c>
      <c r="B65">
        <v>71</v>
      </c>
      <c r="C65">
        <v>42</v>
      </c>
      <c r="D65">
        <v>11</v>
      </c>
      <c r="E65">
        <v>18</v>
      </c>
      <c r="F65">
        <v>732</v>
      </c>
      <c r="G65">
        <v>167</v>
      </c>
      <c r="H65">
        <v>2109</v>
      </c>
      <c r="I65">
        <f>VLOOKUP(A65,[1]project_size_report!$A:$F,6,0)</f>
        <v>195544</v>
      </c>
      <c r="J65" s="11">
        <v>6.2438356164383562</v>
      </c>
      <c r="K65" t="str">
        <f t="shared" si="0"/>
        <v>Medium</v>
      </c>
      <c r="L65" s="1">
        <v>0.59</v>
      </c>
      <c r="M65" s="1">
        <f t="shared" si="1"/>
        <v>0.15492957746478872</v>
      </c>
      <c r="N65" s="1">
        <f t="shared" si="2"/>
        <v>0.25352112676056338</v>
      </c>
      <c r="O65" t="s">
        <v>130</v>
      </c>
    </row>
    <row r="66" spans="1:15" x14ac:dyDescent="0.25">
      <c r="A66" t="s">
        <v>131</v>
      </c>
      <c r="B66">
        <v>66</v>
      </c>
      <c r="C66">
        <v>21</v>
      </c>
      <c r="D66">
        <v>30</v>
      </c>
      <c r="E66">
        <v>15</v>
      </c>
      <c r="F66">
        <v>1274</v>
      </c>
      <c r="G66">
        <v>179</v>
      </c>
      <c r="H66">
        <v>1023</v>
      </c>
      <c r="I66">
        <f>VLOOKUP(A66,[1]project_size_report!$A:$F,6,0)</f>
        <v>190811</v>
      </c>
      <c r="J66" s="11">
        <v>17.334246575342465</v>
      </c>
      <c r="K66" t="str">
        <f t="shared" si="0"/>
        <v>Medium</v>
      </c>
      <c r="L66" s="1">
        <v>0.32</v>
      </c>
      <c r="M66" s="1">
        <f t="shared" si="1"/>
        <v>0.45454545454545453</v>
      </c>
      <c r="N66" s="1">
        <f t="shared" si="2"/>
        <v>0.22727272727272727</v>
      </c>
      <c r="O66" t="s">
        <v>132</v>
      </c>
    </row>
    <row r="67" spans="1:15" x14ac:dyDescent="0.25">
      <c r="A67" t="s">
        <v>133</v>
      </c>
      <c r="B67">
        <v>66</v>
      </c>
      <c r="C67">
        <v>51</v>
      </c>
      <c r="D67">
        <v>11</v>
      </c>
      <c r="E67">
        <v>4</v>
      </c>
      <c r="F67">
        <v>355</v>
      </c>
      <c r="G67">
        <v>61</v>
      </c>
      <c r="H67">
        <v>319</v>
      </c>
      <c r="I67">
        <f>VLOOKUP(A67,[1]project_size_report!$A:$F,6,0)</f>
        <v>43411</v>
      </c>
      <c r="J67" s="11">
        <v>17.783561643835615</v>
      </c>
      <c r="K67" t="str">
        <f t="shared" ref="K67:K98" si="3">IF(I67&lt;=100000,"Small",
   IF(I67&lt;=500000,"Medium",
      "Large"))</f>
        <v>Small</v>
      </c>
      <c r="L67" s="1">
        <v>0.77</v>
      </c>
      <c r="M67" s="1">
        <f t="shared" ref="M67:M98" si="4">D67/B67</f>
        <v>0.16666666666666666</v>
      </c>
      <c r="N67" s="1">
        <f t="shared" ref="N67:N98" si="5">E67/B67</f>
        <v>6.0606060606060608E-2</v>
      </c>
      <c r="O67" t="s">
        <v>134</v>
      </c>
    </row>
    <row r="68" spans="1:15" x14ac:dyDescent="0.25">
      <c r="A68" t="s">
        <v>135</v>
      </c>
      <c r="B68">
        <v>62</v>
      </c>
      <c r="C68">
        <v>40</v>
      </c>
      <c r="D68">
        <v>14</v>
      </c>
      <c r="E68">
        <v>8</v>
      </c>
      <c r="F68">
        <v>473</v>
      </c>
      <c r="G68">
        <v>41</v>
      </c>
      <c r="H68">
        <v>96</v>
      </c>
      <c r="I68">
        <f>VLOOKUP(A68,[1]project_size_report!$A:$F,6,0)</f>
        <v>16509</v>
      </c>
      <c r="J68" s="11">
        <v>21.980821917808218</v>
      </c>
      <c r="K68" t="str">
        <f t="shared" si="3"/>
        <v>Small</v>
      </c>
      <c r="L68" s="1">
        <v>0.65</v>
      </c>
      <c r="M68" s="1">
        <f t="shared" si="4"/>
        <v>0.22580645161290322</v>
      </c>
      <c r="N68" s="1">
        <f t="shared" si="5"/>
        <v>0.12903225806451613</v>
      </c>
      <c r="O68" t="s">
        <v>136</v>
      </c>
    </row>
    <row r="69" spans="1:15" x14ac:dyDescent="0.25">
      <c r="A69" t="s">
        <v>137</v>
      </c>
      <c r="B69">
        <v>60</v>
      </c>
      <c r="C69">
        <v>60</v>
      </c>
      <c r="D69">
        <v>0</v>
      </c>
      <c r="E69">
        <v>0</v>
      </c>
      <c r="F69">
        <v>191</v>
      </c>
      <c r="G69">
        <v>74</v>
      </c>
      <c r="H69">
        <v>275</v>
      </c>
      <c r="I69">
        <f>VLOOKUP(A69,[1]project_size_report!$A:$F,6,0)</f>
        <v>29273</v>
      </c>
      <c r="J69" s="11">
        <v>4.8986301369863012</v>
      </c>
      <c r="K69" t="str">
        <f t="shared" si="3"/>
        <v>Small</v>
      </c>
      <c r="L69" s="1">
        <v>1</v>
      </c>
      <c r="M69" s="1">
        <f t="shared" si="4"/>
        <v>0</v>
      </c>
      <c r="N69" s="1">
        <f t="shared" si="5"/>
        <v>0</v>
      </c>
      <c r="O69" t="s">
        <v>138</v>
      </c>
    </row>
    <row r="70" spans="1:15" x14ac:dyDescent="0.25">
      <c r="A70" t="s">
        <v>139</v>
      </c>
      <c r="B70">
        <v>58</v>
      </c>
      <c r="C70">
        <v>48</v>
      </c>
      <c r="D70">
        <v>6</v>
      </c>
      <c r="E70">
        <v>4</v>
      </c>
      <c r="F70">
        <v>1105</v>
      </c>
      <c r="G70">
        <v>130</v>
      </c>
      <c r="H70">
        <v>755</v>
      </c>
      <c r="I70">
        <f>VLOOKUP(A70,[1]project_size_report!$A:$F,6,0)</f>
        <v>113847</v>
      </c>
      <c r="J70" s="11">
        <v>18</v>
      </c>
      <c r="K70" t="str">
        <f t="shared" si="3"/>
        <v>Medium</v>
      </c>
      <c r="L70" s="1">
        <v>0.83</v>
      </c>
      <c r="M70" s="1">
        <f t="shared" si="4"/>
        <v>0.10344827586206896</v>
      </c>
      <c r="N70" s="1">
        <f t="shared" si="5"/>
        <v>6.8965517241379309E-2</v>
      </c>
      <c r="O70" t="s">
        <v>140</v>
      </c>
    </row>
    <row r="71" spans="1:15" x14ac:dyDescent="0.25">
      <c r="A71" t="s">
        <v>141</v>
      </c>
      <c r="B71">
        <v>56</v>
      </c>
      <c r="C71">
        <v>48</v>
      </c>
      <c r="D71">
        <v>6</v>
      </c>
      <c r="E71">
        <v>2</v>
      </c>
      <c r="F71">
        <v>429</v>
      </c>
      <c r="G71">
        <v>135</v>
      </c>
      <c r="H71">
        <v>1516</v>
      </c>
      <c r="I71">
        <f>VLOOKUP(A71,[1]project_size_report!$A:$F,6,0)</f>
        <v>180309</v>
      </c>
      <c r="J71" s="11">
        <v>10.597260273972603</v>
      </c>
      <c r="K71" t="str">
        <f t="shared" si="3"/>
        <v>Medium</v>
      </c>
      <c r="L71" s="1">
        <v>0.86</v>
      </c>
      <c r="M71" s="1">
        <f t="shared" si="4"/>
        <v>0.10714285714285714</v>
      </c>
      <c r="N71" s="1">
        <f t="shared" si="5"/>
        <v>3.5714285714285712E-2</v>
      </c>
      <c r="O71" t="s">
        <v>142</v>
      </c>
    </row>
    <row r="72" spans="1:15" x14ac:dyDescent="0.25">
      <c r="A72" t="s">
        <v>143</v>
      </c>
      <c r="B72">
        <v>55</v>
      </c>
      <c r="C72">
        <v>33</v>
      </c>
      <c r="D72">
        <v>22</v>
      </c>
      <c r="E72">
        <v>0</v>
      </c>
      <c r="F72">
        <v>165</v>
      </c>
      <c r="G72">
        <v>57</v>
      </c>
      <c r="H72">
        <v>434</v>
      </c>
      <c r="I72">
        <f>VLOOKUP(A72,[1]project_size_report!$A:$F,6,0)</f>
        <v>69273</v>
      </c>
      <c r="J72" s="11">
        <v>24.106849315068494</v>
      </c>
      <c r="K72" t="str">
        <f t="shared" si="3"/>
        <v>Small</v>
      </c>
      <c r="L72" s="1">
        <v>0.6</v>
      </c>
      <c r="M72" s="1">
        <f t="shared" si="4"/>
        <v>0.4</v>
      </c>
      <c r="N72" s="1">
        <f t="shared" si="5"/>
        <v>0</v>
      </c>
      <c r="O72" t="s">
        <v>144</v>
      </c>
    </row>
    <row r="73" spans="1:15" x14ac:dyDescent="0.25">
      <c r="A73" t="s">
        <v>145</v>
      </c>
      <c r="B73">
        <v>53</v>
      </c>
      <c r="C73">
        <v>47</v>
      </c>
      <c r="D73">
        <v>6</v>
      </c>
      <c r="E73">
        <v>0</v>
      </c>
      <c r="F73">
        <v>1035</v>
      </c>
      <c r="G73">
        <v>281</v>
      </c>
      <c r="H73">
        <v>1408</v>
      </c>
      <c r="I73">
        <f>VLOOKUP(A73,[1]project_size_report!$A:$F,6,0)</f>
        <v>221876</v>
      </c>
      <c r="J73" s="11">
        <v>16.906849315068492</v>
      </c>
      <c r="K73" t="str">
        <f t="shared" si="3"/>
        <v>Medium</v>
      </c>
      <c r="L73" s="1">
        <v>0.89</v>
      </c>
      <c r="M73" s="1">
        <f t="shared" si="4"/>
        <v>0.11320754716981132</v>
      </c>
      <c r="N73" s="1">
        <f t="shared" si="5"/>
        <v>0</v>
      </c>
      <c r="O73" t="s">
        <v>146</v>
      </c>
    </row>
    <row r="74" spans="1:15" x14ac:dyDescent="0.25">
      <c r="A74" t="s">
        <v>147</v>
      </c>
      <c r="B74">
        <v>52</v>
      </c>
      <c r="C74">
        <v>52</v>
      </c>
      <c r="D74">
        <v>0</v>
      </c>
      <c r="E74">
        <v>0</v>
      </c>
      <c r="F74">
        <v>1799</v>
      </c>
      <c r="G74">
        <v>238</v>
      </c>
      <c r="H74">
        <v>0</v>
      </c>
      <c r="I74">
        <f>VLOOKUP(A74,[1]project_size_report!$A:$F,6,0)</f>
        <v>193550</v>
      </c>
      <c r="J74" s="11">
        <v>13.186301369863013</v>
      </c>
      <c r="K74" t="str">
        <f t="shared" si="3"/>
        <v>Medium</v>
      </c>
      <c r="L74" s="1">
        <v>1</v>
      </c>
      <c r="M74" s="1">
        <f t="shared" si="4"/>
        <v>0</v>
      </c>
      <c r="N74" s="1">
        <f t="shared" si="5"/>
        <v>0</v>
      </c>
      <c r="O74" t="s">
        <v>148</v>
      </c>
    </row>
    <row r="75" spans="1:15" x14ac:dyDescent="0.25">
      <c r="A75" t="s">
        <v>149</v>
      </c>
      <c r="B75">
        <v>51</v>
      </c>
      <c r="C75">
        <v>23</v>
      </c>
      <c r="D75">
        <v>10</v>
      </c>
      <c r="E75">
        <v>18</v>
      </c>
      <c r="F75">
        <v>2875</v>
      </c>
      <c r="G75">
        <v>754</v>
      </c>
      <c r="H75">
        <v>4400</v>
      </c>
      <c r="I75">
        <f>VLOOKUP(A75,[1]project_size_report!$A:$F,6,0)</f>
        <v>712145</v>
      </c>
      <c r="J75" s="11">
        <v>19.86849315068493</v>
      </c>
      <c r="K75" t="str">
        <f t="shared" si="3"/>
        <v>Large</v>
      </c>
      <c r="L75" s="1">
        <v>0.45</v>
      </c>
      <c r="M75" s="1">
        <f t="shared" si="4"/>
        <v>0.19607843137254902</v>
      </c>
      <c r="N75" s="1">
        <f t="shared" si="5"/>
        <v>0.35294117647058826</v>
      </c>
      <c r="O75" t="s">
        <v>150</v>
      </c>
    </row>
    <row r="76" spans="1:15" x14ac:dyDescent="0.25">
      <c r="A76" t="s">
        <v>151</v>
      </c>
      <c r="B76">
        <v>49</v>
      </c>
      <c r="C76">
        <v>30</v>
      </c>
      <c r="D76">
        <v>12</v>
      </c>
      <c r="E76">
        <v>7</v>
      </c>
      <c r="F76">
        <v>576</v>
      </c>
      <c r="G76">
        <v>116</v>
      </c>
      <c r="H76">
        <v>5169</v>
      </c>
      <c r="I76">
        <f>VLOOKUP(A76,[1]project_size_report!$A:$F,6,0)</f>
        <v>911543</v>
      </c>
      <c r="J76" s="11">
        <v>8.0273972602739718</v>
      </c>
      <c r="K76" t="str">
        <f t="shared" si="3"/>
        <v>Large</v>
      </c>
      <c r="L76" s="1">
        <v>0.61</v>
      </c>
      <c r="M76" s="1">
        <f t="shared" si="4"/>
        <v>0.24489795918367346</v>
      </c>
      <c r="N76" s="1">
        <f t="shared" si="5"/>
        <v>0.14285714285714285</v>
      </c>
      <c r="O76" t="s">
        <v>152</v>
      </c>
    </row>
    <row r="77" spans="1:15" x14ac:dyDescent="0.25">
      <c r="A77" t="s">
        <v>153</v>
      </c>
      <c r="B77">
        <v>42</v>
      </c>
      <c r="C77">
        <v>29</v>
      </c>
      <c r="D77">
        <v>10</v>
      </c>
      <c r="E77">
        <v>3</v>
      </c>
      <c r="F77">
        <v>981</v>
      </c>
      <c r="G77">
        <v>182</v>
      </c>
      <c r="H77">
        <v>2216</v>
      </c>
      <c r="I77">
        <f>VLOOKUP(A77,[1]project_size_report!$A:$F,6,0)</f>
        <v>298185</v>
      </c>
      <c r="J77" s="11">
        <v>19.671232876712327</v>
      </c>
      <c r="K77" t="str">
        <f t="shared" si="3"/>
        <v>Medium</v>
      </c>
      <c r="L77" s="1">
        <v>0.69</v>
      </c>
      <c r="M77" s="1">
        <f t="shared" si="4"/>
        <v>0.23809523809523808</v>
      </c>
      <c r="N77" s="1">
        <f t="shared" si="5"/>
        <v>7.1428571428571425E-2</v>
      </c>
      <c r="O77" t="s">
        <v>154</v>
      </c>
    </row>
    <row r="78" spans="1:15" x14ac:dyDescent="0.25">
      <c r="A78" t="s">
        <v>155</v>
      </c>
      <c r="B78">
        <v>35</v>
      </c>
      <c r="C78">
        <v>25</v>
      </c>
      <c r="D78">
        <v>3</v>
      </c>
      <c r="E78">
        <v>7</v>
      </c>
      <c r="F78">
        <v>289</v>
      </c>
      <c r="G78">
        <v>48</v>
      </c>
      <c r="H78">
        <v>1149</v>
      </c>
      <c r="I78">
        <f>VLOOKUP(A78,[1]project_size_report!$A:$F,6,0)</f>
        <v>368106</v>
      </c>
      <c r="J78" s="11">
        <v>19.342465753424658</v>
      </c>
      <c r="K78" t="str">
        <f t="shared" si="3"/>
        <v>Medium</v>
      </c>
      <c r="L78" s="1">
        <v>0.71</v>
      </c>
      <c r="M78" s="1">
        <f t="shared" si="4"/>
        <v>8.5714285714285715E-2</v>
      </c>
      <c r="N78" s="1">
        <f t="shared" si="5"/>
        <v>0.2</v>
      </c>
      <c r="O78" t="s">
        <v>156</v>
      </c>
    </row>
    <row r="79" spans="1:15" x14ac:dyDescent="0.25">
      <c r="A79" t="s">
        <v>157</v>
      </c>
      <c r="B79">
        <v>33</v>
      </c>
      <c r="C79">
        <v>23</v>
      </c>
      <c r="D79">
        <v>9</v>
      </c>
      <c r="E79">
        <v>1</v>
      </c>
      <c r="F79">
        <v>1254</v>
      </c>
      <c r="G79">
        <v>234</v>
      </c>
      <c r="H79">
        <v>1887</v>
      </c>
      <c r="I79">
        <f>VLOOKUP(A79,[1]project_size_report!$A:$F,6,0)</f>
        <v>327737</v>
      </c>
      <c r="J79" s="11">
        <v>19.753424657534246</v>
      </c>
      <c r="K79" t="str">
        <f t="shared" si="3"/>
        <v>Medium</v>
      </c>
      <c r="L79" s="1">
        <v>0.7</v>
      </c>
      <c r="M79" s="1">
        <f t="shared" si="4"/>
        <v>0.27272727272727271</v>
      </c>
      <c r="N79" s="1">
        <f t="shared" si="5"/>
        <v>3.0303030303030304E-2</v>
      </c>
      <c r="O79" t="s">
        <v>158</v>
      </c>
    </row>
    <row r="80" spans="1:15" x14ac:dyDescent="0.25">
      <c r="A80" t="s">
        <v>159</v>
      </c>
      <c r="B80">
        <v>28</v>
      </c>
      <c r="C80">
        <v>26</v>
      </c>
      <c r="D80">
        <v>1</v>
      </c>
      <c r="E80">
        <v>1</v>
      </c>
      <c r="F80">
        <v>37</v>
      </c>
      <c r="G80">
        <v>25</v>
      </c>
      <c r="H80">
        <v>2937</v>
      </c>
      <c r="I80">
        <f>VLOOKUP(A80,[1]project_size_report!$A:$F,6,0)</f>
        <v>589746</v>
      </c>
      <c r="J80" s="11">
        <v>21.082191780821919</v>
      </c>
      <c r="K80" t="str">
        <f t="shared" si="3"/>
        <v>Large</v>
      </c>
      <c r="L80" s="1">
        <v>0.93</v>
      </c>
      <c r="M80" s="1">
        <f t="shared" si="4"/>
        <v>3.5714285714285712E-2</v>
      </c>
      <c r="N80" s="1">
        <f t="shared" si="5"/>
        <v>3.5714285714285712E-2</v>
      </c>
      <c r="O80" t="s">
        <v>160</v>
      </c>
    </row>
    <row r="81" spans="1:15" x14ac:dyDescent="0.25">
      <c r="A81" t="s">
        <v>161</v>
      </c>
      <c r="B81">
        <v>28</v>
      </c>
      <c r="C81">
        <v>21</v>
      </c>
      <c r="D81">
        <v>7</v>
      </c>
      <c r="E81">
        <v>0</v>
      </c>
      <c r="F81">
        <v>2197</v>
      </c>
      <c r="G81">
        <v>421</v>
      </c>
      <c r="H81">
        <v>1659</v>
      </c>
      <c r="I81">
        <f>VLOOKUP(A81,[1]project_size_report!$A:$F,6,0)</f>
        <v>263636</v>
      </c>
      <c r="J81" s="11">
        <v>18.580821917808219</v>
      </c>
      <c r="K81" t="str">
        <f t="shared" si="3"/>
        <v>Medium</v>
      </c>
      <c r="L81" s="1">
        <v>0.75</v>
      </c>
      <c r="M81" s="1">
        <f t="shared" si="4"/>
        <v>0.25</v>
      </c>
      <c r="N81" s="1">
        <f t="shared" si="5"/>
        <v>0</v>
      </c>
      <c r="O81" t="s">
        <v>162</v>
      </c>
    </row>
    <row r="82" spans="1:15" x14ac:dyDescent="0.25">
      <c r="A82" t="s">
        <v>163</v>
      </c>
      <c r="B82">
        <v>26</v>
      </c>
      <c r="C82">
        <v>26</v>
      </c>
      <c r="D82">
        <v>0</v>
      </c>
      <c r="E82">
        <v>0</v>
      </c>
      <c r="F82">
        <v>1738</v>
      </c>
      <c r="G82">
        <v>119</v>
      </c>
      <c r="H82">
        <v>1048</v>
      </c>
      <c r="I82">
        <f>VLOOKUP(A82,[1]project_size_report!$A:$F,6,0)</f>
        <v>310319</v>
      </c>
      <c r="J82" s="11">
        <v>14.416438356164383</v>
      </c>
      <c r="K82" t="str">
        <f t="shared" si="3"/>
        <v>Medium</v>
      </c>
      <c r="L82" s="1">
        <v>1</v>
      </c>
      <c r="M82" s="1">
        <f t="shared" si="4"/>
        <v>0</v>
      </c>
      <c r="N82" s="1">
        <f t="shared" si="5"/>
        <v>0</v>
      </c>
      <c r="O82" t="s">
        <v>164</v>
      </c>
    </row>
    <row r="83" spans="1:15" x14ac:dyDescent="0.25">
      <c r="A83" t="s">
        <v>165</v>
      </c>
      <c r="B83">
        <v>23</v>
      </c>
      <c r="C83">
        <v>0</v>
      </c>
      <c r="D83">
        <v>19</v>
      </c>
      <c r="E83">
        <v>4</v>
      </c>
      <c r="F83">
        <v>266</v>
      </c>
      <c r="G83">
        <v>71</v>
      </c>
      <c r="H83">
        <v>827</v>
      </c>
      <c r="I83">
        <f>VLOOKUP(A83,[1]project_size_report!$A:$F,6,0)</f>
        <v>111412</v>
      </c>
      <c r="J83" s="11">
        <v>9.8493150684931514</v>
      </c>
      <c r="K83" t="str">
        <f t="shared" si="3"/>
        <v>Medium</v>
      </c>
      <c r="L83" s="1">
        <v>0</v>
      </c>
      <c r="M83" s="1">
        <f t="shared" si="4"/>
        <v>0.82608695652173914</v>
      </c>
      <c r="N83" s="1">
        <f t="shared" si="5"/>
        <v>0.17391304347826086</v>
      </c>
      <c r="O83" t="s">
        <v>166</v>
      </c>
    </row>
    <row r="84" spans="1:15" x14ac:dyDescent="0.25">
      <c r="A84" t="s">
        <v>167</v>
      </c>
      <c r="B84">
        <v>23</v>
      </c>
      <c r="C84">
        <v>6</v>
      </c>
      <c r="D84">
        <v>10</v>
      </c>
      <c r="E84">
        <v>7</v>
      </c>
      <c r="F84">
        <v>159</v>
      </c>
      <c r="G84">
        <v>54</v>
      </c>
      <c r="H84">
        <v>623</v>
      </c>
      <c r="I84">
        <f>VLOOKUP(A84,[1]project_size_report!$A:$F,6,0)</f>
        <v>98050</v>
      </c>
      <c r="J84" s="11">
        <v>20.076712328767123</v>
      </c>
      <c r="K84" t="str">
        <f t="shared" si="3"/>
        <v>Small</v>
      </c>
      <c r="L84" s="1">
        <v>0.26</v>
      </c>
      <c r="M84" s="1">
        <f t="shared" si="4"/>
        <v>0.43478260869565216</v>
      </c>
      <c r="N84" s="1">
        <f t="shared" si="5"/>
        <v>0.30434782608695654</v>
      </c>
      <c r="O84" t="s">
        <v>168</v>
      </c>
    </row>
    <row r="85" spans="1:15" x14ac:dyDescent="0.25">
      <c r="A85" t="s">
        <v>169</v>
      </c>
      <c r="B85">
        <v>21</v>
      </c>
      <c r="C85">
        <v>18</v>
      </c>
      <c r="D85">
        <v>3</v>
      </c>
      <c r="E85">
        <v>0</v>
      </c>
      <c r="F85">
        <v>904</v>
      </c>
      <c r="G85">
        <v>121</v>
      </c>
      <c r="H85">
        <v>409</v>
      </c>
      <c r="I85">
        <f>VLOOKUP(A85,[1]project_size_report!$A:$F,6,0)</f>
        <v>101198</v>
      </c>
      <c r="J85" s="11">
        <v>10.471232876712328</v>
      </c>
      <c r="K85" t="str">
        <f t="shared" si="3"/>
        <v>Medium</v>
      </c>
      <c r="L85" s="1">
        <v>0.86</v>
      </c>
      <c r="M85" s="1">
        <f t="shared" si="4"/>
        <v>0.14285714285714285</v>
      </c>
      <c r="N85" s="1">
        <f t="shared" si="5"/>
        <v>0</v>
      </c>
      <c r="O85" t="s">
        <v>170</v>
      </c>
    </row>
    <row r="86" spans="1:15" x14ac:dyDescent="0.25">
      <c r="A86" t="s">
        <v>171</v>
      </c>
      <c r="B86">
        <v>21</v>
      </c>
      <c r="C86">
        <v>10</v>
      </c>
      <c r="D86">
        <v>6</v>
      </c>
      <c r="E86">
        <v>5</v>
      </c>
      <c r="F86">
        <v>211</v>
      </c>
      <c r="G86">
        <v>70</v>
      </c>
      <c r="H86">
        <v>412</v>
      </c>
      <c r="I86">
        <f>VLOOKUP(A86,[1]project_size_report!$A:$F,6,0)</f>
        <v>68684</v>
      </c>
      <c r="J86" s="11">
        <v>19.610958904109587</v>
      </c>
      <c r="K86" t="str">
        <f t="shared" si="3"/>
        <v>Small</v>
      </c>
      <c r="L86" s="1">
        <v>0.48</v>
      </c>
      <c r="M86" s="1">
        <f t="shared" si="4"/>
        <v>0.2857142857142857</v>
      </c>
      <c r="N86" s="1">
        <f t="shared" si="5"/>
        <v>0.23809523809523808</v>
      </c>
      <c r="O86" t="s">
        <v>172</v>
      </c>
    </row>
    <row r="87" spans="1:15" x14ac:dyDescent="0.25">
      <c r="A87" t="s">
        <v>173</v>
      </c>
      <c r="B87">
        <v>20</v>
      </c>
      <c r="C87">
        <v>20</v>
      </c>
      <c r="D87">
        <v>0</v>
      </c>
      <c r="E87">
        <v>0</v>
      </c>
      <c r="F87">
        <v>3865</v>
      </c>
      <c r="G87">
        <v>359</v>
      </c>
      <c r="H87">
        <v>1791</v>
      </c>
      <c r="I87">
        <f>VLOOKUP(A87,[1]project_size_report!$A:$F,6,0)</f>
        <v>401355</v>
      </c>
      <c r="J87" s="11">
        <v>17.895890410958906</v>
      </c>
      <c r="K87" t="str">
        <f t="shared" si="3"/>
        <v>Medium</v>
      </c>
      <c r="L87" s="1">
        <v>1</v>
      </c>
      <c r="M87" s="1">
        <f t="shared" si="4"/>
        <v>0</v>
      </c>
      <c r="N87" s="1">
        <f t="shared" si="5"/>
        <v>0</v>
      </c>
      <c r="O87" t="s">
        <v>174</v>
      </c>
    </row>
    <row r="88" spans="1:15" x14ac:dyDescent="0.25">
      <c r="A88" t="s">
        <v>175</v>
      </c>
      <c r="B88">
        <v>19</v>
      </c>
      <c r="C88">
        <v>14</v>
      </c>
      <c r="D88">
        <v>3</v>
      </c>
      <c r="E88">
        <v>2</v>
      </c>
      <c r="F88">
        <v>13862</v>
      </c>
      <c r="G88">
        <v>990</v>
      </c>
      <c r="H88">
        <v>6811</v>
      </c>
      <c r="I88">
        <f>VLOOKUP(A88,[1]project_size_report!$A:$F,6,0)</f>
        <v>1101351</v>
      </c>
      <c r="J88" s="11">
        <v>13.468493150684932</v>
      </c>
      <c r="K88" t="str">
        <f t="shared" si="3"/>
        <v>Large</v>
      </c>
      <c r="L88" s="1">
        <v>0.74</v>
      </c>
      <c r="M88" s="1">
        <f t="shared" si="4"/>
        <v>0.15789473684210525</v>
      </c>
      <c r="N88" s="1">
        <f t="shared" si="5"/>
        <v>0.10526315789473684</v>
      </c>
      <c r="O88" t="s">
        <v>176</v>
      </c>
    </row>
    <row r="89" spans="1:15" x14ac:dyDescent="0.25">
      <c r="A89" t="s">
        <v>177</v>
      </c>
      <c r="B89">
        <v>17</v>
      </c>
      <c r="C89">
        <v>16</v>
      </c>
      <c r="D89">
        <v>0</v>
      </c>
      <c r="E89">
        <v>1</v>
      </c>
      <c r="F89">
        <v>1841</v>
      </c>
      <c r="G89">
        <v>226</v>
      </c>
      <c r="H89">
        <v>655</v>
      </c>
      <c r="I89">
        <f>VLOOKUP(A89,[1]project_size_report!$A:$F,6,0)</f>
        <v>132017</v>
      </c>
      <c r="J89" s="11">
        <v>21.917808219178081</v>
      </c>
      <c r="K89" t="str">
        <f t="shared" si="3"/>
        <v>Medium</v>
      </c>
      <c r="L89" s="1">
        <v>0.94</v>
      </c>
      <c r="M89" s="1">
        <f t="shared" si="4"/>
        <v>0</v>
      </c>
      <c r="N89" s="1">
        <f t="shared" si="5"/>
        <v>5.8823529411764705E-2</v>
      </c>
      <c r="O89" t="s">
        <v>178</v>
      </c>
    </row>
    <row r="90" spans="1:15" x14ac:dyDescent="0.25">
      <c r="A90" t="s">
        <v>179</v>
      </c>
      <c r="B90">
        <v>15</v>
      </c>
      <c r="C90">
        <v>15</v>
      </c>
      <c r="D90">
        <v>0</v>
      </c>
      <c r="E90">
        <v>0</v>
      </c>
      <c r="F90">
        <v>1414</v>
      </c>
      <c r="G90">
        <v>232</v>
      </c>
      <c r="H90">
        <v>778</v>
      </c>
      <c r="I90">
        <f>VLOOKUP(A90,[1]project_size_report!$A:$F,6,0)</f>
        <v>150436</v>
      </c>
      <c r="J90" s="11">
        <v>16.553424657534247</v>
      </c>
      <c r="K90" t="str">
        <f t="shared" si="3"/>
        <v>Medium</v>
      </c>
      <c r="L90" s="1">
        <v>1</v>
      </c>
      <c r="M90" s="1">
        <f t="shared" si="4"/>
        <v>0</v>
      </c>
      <c r="N90" s="1">
        <f t="shared" si="5"/>
        <v>0</v>
      </c>
      <c r="O90" t="s">
        <v>180</v>
      </c>
    </row>
    <row r="91" spans="1:15" x14ac:dyDescent="0.25">
      <c r="A91" t="s">
        <v>181</v>
      </c>
      <c r="B91">
        <v>14</v>
      </c>
      <c r="C91">
        <v>14</v>
      </c>
      <c r="D91">
        <v>0</v>
      </c>
      <c r="E91">
        <v>0</v>
      </c>
      <c r="F91">
        <v>1206</v>
      </c>
      <c r="G91">
        <v>96</v>
      </c>
      <c r="H91">
        <v>210</v>
      </c>
      <c r="I91">
        <f>VLOOKUP(A91,[1]project_size_report!$A:$F,6,0)</f>
        <v>53272</v>
      </c>
      <c r="J91" s="11">
        <v>10.947945205479453</v>
      </c>
      <c r="K91" t="str">
        <f t="shared" si="3"/>
        <v>Small</v>
      </c>
      <c r="L91" s="1">
        <v>1</v>
      </c>
      <c r="M91" s="1">
        <f t="shared" si="4"/>
        <v>0</v>
      </c>
      <c r="N91" s="1">
        <f t="shared" si="5"/>
        <v>0</v>
      </c>
      <c r="O91" t="s">
        <v>182</v>
      </c>
    </row>
    <row r="92" spans="1:15" x14ac:dyDescent="0.25">
      <c r="A92" t="s">
        <v>183</v>
      </c>
      <c r="B92">
        <v>14</v>
      </c>
      <c r="C92">
        <v>8</v>
      </c>
      <c r="D92">
        <v>0</v>
      </c>
      <c r="E92">
        <v>6</v>
      </c>
      <c r="F92">
        <v>209</v>
      </c>
      <c r="G92">
        <v>73</v>
      </c>
      <c r="H92">
        <v>411</v>
      </c>
      <c r="I92">
        <f>VLOOKUP(A92,[1]project_size_report!$A:$F,6,0)</f>
        <v>110089</v>
      </c>
      <c r="J92" s="11">
        <v>4.5424657534246577</v>
      </c>
      <c r="K92" t="str">
        <f t="shared" si="3"/>
        <v>Medium</v>
      </c>
      <c r="L92" s="1">
        <v>0.56999999999999995</v>
      </c>
      <c r="M92" s="1">
        <f t="shared" si="4"/>
        <v>0</v>
      </c>
      <c r="N92" s="1">
        <f t="shared" si="5"/>
        <v>0.42857142857142855</v>
      </c>
      <c r="O92" t="s">
        <v>184</v>
      </c>
    </row>
    <row r="93" spans="1:15" x14ac:dyDescent="0.25">
      <c r="A93" t="s">
        <v>185</v>
      </c>
      <c r="B93">
        <v>13</v>
      </c>
      <c r="C93">
        <v>13</v>
      </c>
      <c r="D93">
        <v>0</v>
      </c>
      <c r="E93">
        <v>0</v>
      </c>
      <c r="F93">
        <v>3891</v>
      </c>
      <c r="G93">
        <v>343</v>
      </c>
      <c r="H93">
        <v>1516</v>
      </c>
      <c r="I93">
        <f>VLOOKUP(A93,[1]project_size_report!$A:$F,6,0)</f>
        <v>377894</v>
      </c>
      <c r="J93" s="11">
        <v>19.82191780821918</v>
      </c>
      <c r="K93" t="str">
        <f t="shared" si="3"/>
        <v>Medium</v>
      </c>
      <c r="L93" s="1">
        <v>1</v>
      </c>
      <c r="M93" s="1">
        <f t="shared" si="4"/>
        <v>0</v>
      </c>
      <c r="N93" s="1">
        <f t="shared" si="5"/>
        <v>0</v>
      </c>
      <c r="O93" t="s">
        <v>186</v>
      </c>
    </row>
    <row r="94" spans="1:15" x14ac:dyDescent="0.25">
      <c r="A94" t="s">
        <v>187</v>
      </c>
      <c r="B94">
        <v>13</v>
      </c>
      <c r="C94">
        <v>6</v>
      </c>
      <c r="D94">
        <v>7</v>
      </c>
      <c r="E94">
        <v>0</v>
      </c>
      <c r="F94">
        <v>605</v>
      </c>
      <c r="G94">
        <v>147</v>
      </c>
      <c r="H94">
        <v>2233</v>
      </c>
      <c r="I94">
        <f>VLOOKUP(A94,[1]project_size_report!$A:$F,6,0)</f>
        <v>182676</v>
      </c>
      <c r="J94" s="11">
        <v>8.8246575342465761</v>
      </c>
      <c r="K94" t="str">
        <f t="shared" si="3"/>
        <v>Medium</v>
      </c>
      <c r="L94" s="1">
        <v>0.46</v>
      </c>
      <c r="M94" s="1">
        <f t="shared" si="4"/>
        <v>0.53846153846153844</v>
      </c>
      <c r="N94" s="1">
        <f t="shared" si="5"/>
        <v>0</v>
      </c>
      <c r="O94" t="s">
        <v>188</v>
      </c>
    </row>
    <row r="95" spans="1:15" x14ac:dyDescent="0.25">
      <c r="A95" t="s">
        <v>189</v>
      </c>
      <c r="B95">
        <v>12</v>
      </c>
      <c r="C95">
        <v>12</v>
      </c>
      <c r="D95">
        <v>0</v>
      </c>
      <c r="E95">
        <v>0</v>
      </c>
      <c r="F95">
        <v>294</v>
      </c>
      <c r="G95">
        <v>72</v>
      </c>
      <c r="H95">
        <v>320</v>
      </c>
      <c r="I95">
        <f>VLOOKUP(A95,[1]project_size_report!$A:$F,6,0)</f>
        <v>43654</v>
      </c>
      <c r="J95" s="11">
        <v>17.665753424657535</v>
      </c>
      <c r="K95" t="str">
        <f t="shared" si="3"/>
        <v>Small</v>
      </c>
      <c r="L95" s="1">
        <v>1</v>
      </c>
      <c r="M95" s="1">
        <f t="shared" si="4"/>
        <v>0</v>
      </c>
      <c r="N95" s="1">
        <f t="shared" si="5"/>
        <v>0</v>
      </c>
      <c r="O95" t="s">
        <v>190</v>
      </c>
    </row>
    <row r="96" spans="1:15" x14ac:dyDescent="0.25">
      <c r="A96" t="s">
        <v>191</v>
      </c>
      <c r="B96">
        <v>12</v>
      </c>
      <c r="C96">
        <v>12</v>
      </c>
      <c r="D96">
        <v>0</v>
      </c>
      <c r="E96">
        <v>0</v>
      </c>
      <c r="F96">
        <v>836</v>
      </c>
      <c r="G96">
        <v>155</v>
      </c>
      <c r="H96">
        <v>644</v>
      </c>
      <c r="I96">
        <f>VLOOKUP(A96,[1]project_size_report!$A:$F,6,0)</f>
        <v>134531</v>
      </c>
      <c r="J96" s="11">
        <v>6.9315068493150687</v>
      </c>
      <c r="K96" t="str">
        <f t="shared" si="3"/>
        <v>Medium</v>
      </c>
      <c r="L96" s="1">
        <v>1</v>
      </c>
      <c r="M96" s="1">
        <f t="shared" si="4"/>
        <v>0</v>
      </c>
      <c r="N96" s="1">
        <f t="shared" si="5"/>
        <v>0</v>
      </c>
      <c r="O96" t="s">
        <v>192</v>
      </c>
    </row>
    <row r="97" spans="1:15" x14ac:dyDescent="0.25">
      <c r="A97" t="s">
        <v>193</v>
      </c>
      <c r="B97">
        <v>11</v>
      </c>
      <c r="C97">
        <v>0</v>
      </c>
      <c r="D97">
        <v>10</v>
      </c>
      <c r="E97">
        <v>1</v>
      </c>
      <c r="F97">
        <v>139</v>
      </c>
      <c r="G97">
        <v>31</v>
      </c>
      <c r="H97">
        <v>1306</v>
      </c>
      <c r="I97">
        <f>VLOOKUP(A97,[1]project_size_report!$A:$F,6,0)</f>
        <v>186018</v>
      </c>
      <c r="J97" s="11">
        <v>11.693150684931506</v>
      </c>
      <c r="K97" t="str">
        <f t="shared" si="3"/>
        <v>Medium</v>
      </c>
      <c r="L97" s="1">
        <v>0</v>
      </c>
      <c r="M97" s="1">
        <f t="shared" si="4"/>
        <v>0.90909090909090906</v>
      </c>
      <c r="N97" s="1">
        <f t="shared" si="5"/>
        <v>9.0909090909090912E-2</v>
      </c>
      <c r="O97" t="s">
        <v>194</v>
      </c>
    </row>
    <row r="98" spans="1:15" x14ac:dyDescent="0.25">
      <c r="A98" t="s">
        <v>195</v>
      </c>
      <c r="B98">
        <v>10</v>
      </c>
      <c r="C98">
        <v>7</v>
      </c>
      <c r="D98">
        <v>3</v>
      </c>
      <c r="E98">
        <v>0</v>
      </c>
      <c r="F98">
        <v>517</v>
      </c>
      <c r="G98">
        <v>94</v>
      </c>
      <c r="H98">
        <v>474</v>
      </c>
      <c r="I98">
        <f>VLOOKUP(A98,[1]project_size_report!$A:$F,6,0)</f>
        <v>107595</v>
      </c>
      <c r="J98" s="11">
        <v>8.8493150684931514</v>
      </c>
      <c r="K98" t="str">
        <f t="shared" si="3"/>
        <v>Medium</v>
      </c>
      <c r="L98" s="1">
        <v>0.7</v>
      </c>
      <c r="M98" s="1">
        <f t="shared" si="4"/>
        <v>0.3</v>
      </c>
      <c r="N98" s="1">
        <f t="shared" si="5"/>
        <v>0</v>
      </c>
      <c r="O98" t="s">
        <v>196</v>
      </c>
    </row>
    <row r="99" spans="1:15" s="5" customFormat="1" x14ac:dyDescent="0.25">
      <c r="A99" s="5" t="s">
        <v>197</v>
      </c>
      <c r="B99" s="5">
        <v>9</v>
      </c>
      <c r="C99" s="5">
        <v>9</v>
      </c>
      <c r="D99">
        <v>0</v>
      </c>
      <c r="E99" s="5">
        <v>0</v>
      </c>
      <c r="F99" s="5">
        <v>97</v>
      </c>
      <c r="G99" s="5">
        <v>42</v>
      </c>
      <c r="H99" s="5">
        <v>2045</v>
      </c>
      <c r="J99" s="12"/>
      <c r="L99" s="6">
        <v>1</v>
      </c>
      <c r="M99" s="6">
        <v>0</v>
      </c>
      <c r="N99" s="6">
        <v>0</v>
      </c>
      <c r="O99" s="5" t="s">
        <v>198</v>
      </c>
    </row>
    <row r="100" spans="1:15" x14ac:dyDescent="0.25">
      <c r="A100" t="s">
        <v>199</v>
      </c>
      <c r="B100">
        <v>8</v>
      </c>
      <c r="C100">
        <v>1</v>
      </c>
      <c r="D100">
        <v>1</v>
      </c>
      <c r="E100">
        <v>6</v>
      </c>
      <c r="F100">
        <v>1882</v>
      </c>
      <c r="G100">
        <v>894</v>
      </c>
      <c r="H100">
        <v>6265</v>
      </c>
      <c r="L100" s="1">
        <v>0.13</v>
      </c>
      <c r="M100" s="1">
        <v>0.14285714285714285</v>
      </c>
      <c r="N100" s="1">
        <v>0</v>
      </c>
      <c r="O100" t="s">
        <v>200</v>
      </c>
    </row>
    <row r="101" spans="1:15" x14ac:dyDescent="0.25">
      <c r="A101" t="s">
        <v>201</v>
      </c>
      <c r="B101">
        <v>7</v>
      </c>
      <c r="C101">
        <v>7</v>
      </c>
      <c r="D101">
        <v>0</v>
      </c>
      <c r="E101">
        <v>0</v>
      </c>
      <c r="F101">
        <v>656</v>
      </c>
      <c r="G101">
        <v>155</v>
      </c>
      <c r="H101">
        <v>2959</v>
      </c>
      <c r="L101" s="1">
        <v>1</v>
      </c>
      <c r="M101" s="1">
        <v>0</v>
      </c>
      <c r="N101" s="1">
        <v>0</v>
      </c>
    </row>
    <row r="102" spans="1:15" x14ac:dyDescent="0.25">
      <c r="A102" t="s">
        <v>202</v>
      </c>
      <c r="B102">
        <v>7</v>
      </c>
      <c r="C102">
        <v>7</v>
      </c>
      <c r="D102">
        <v>0</v>
      </c>
      <c r="E102">
        <v>0</v>
      </c>
      <c r="F102">
        <v>5851</v>
      </c>
      <c r="G102">
        <v>1019</v>
      </c>
      <c r="H102">
        <v>3753</v>
      </c>
      <c r="L102" s="1">
        <v>1</v>
      </c>
      <c r="M102" s="1">
        <v>0</v>
      </c>
      <c r="N102" s="1">
        <v>0</v>
      </c>
    </row>
    <row r="103" spans="1:15" x14ac:dyDescent="0.25">
      <c r="A103" t="s">
        <v>203</v>
      </c>
      <c r="B103">
        <v>6</v>
      </c>
      <c r="C103">
        <v>5</v>
      </c>
      <c r="D103">
        <v>1</v>
      </c>
      <c r="E103">
        <v>0</v>
      </c>
      <c r="F103">
        <v>541</v>
      </c>
      <c r="G103">
        <v>88</v>
      </c>
      <c r="H103">
        <v>439</v>
      </c>
      <c r="L103" s="1">
        <v>0.83</v>
      </c>
      <c r="M103" s="1">
        <v>1</v>
      </c>
      <c r="N103" s="1">
        <v>0</v>
      </c>
    </row>
    <row r="104" spans="1:15" x14ac:dyDescent="0.25">
      <c r="A104" t="s">
        <v>204</v>
      </c>
      <c r="B104">
        <v>6</v>
      </c>
      <c r="C104">
        <v>0</v>
      </c>
      <c r="D104">
        <v>5</v>
      </c>
      <c r="E104">
        <v>1</v>
      </c>
      <c r="F104">
        <v>1161</v>
      </c>
      <c r="G104">
        <v>53</v>
      </c>
      <c r="H104">
        <v>147</v>
      </c>
      <c r="L104" s="1">
        <v>0</v>
      </c>
      <c r="M104" s="1">
        <v>0.83333333333333337</v>
      </c>
      <c r="N104" s="1">
        <v>0</v>
      </c>
    </row>
    <row r="105" spans="1:15" x14ac:dyDescent="0.25">
      <c r="A105" t="s">
        <v>205</v>
      </c>
      <c r="B105">
        <v>6</v>
      </c>
      <c r="C105">
        <v>4</v>
      </c>
      <c r="D105">
        <v>2</v>
      </c>
      <c r="E105">
        <v>0</v>
      </c>
      <c r="F105">
        <v>402</v>
      </c>
      <c r="G105">
        <v>30</v>
      </c>
      <c r="H105">
        <v>79</v>
      </c>
      <c r="L105" s="1">
        <v>0.67</v>
      </c>
      <c r="M105" s="1">
        <v>0.5</v>
      </c>
      <c r="N105" s="1">
        <v>0.5</v>
      </c>
    </row>
    <row r="106" spans="1:15" x14ac:dyDescent="0.25">
      <c r="A106" t="s">
        <v>206</v>
      </c>
      <c r="B106">
        <v>6</v>
      </c>
      <c r="C106">
        <v>6</v>
      </c>
      <c r="D106">
        <v>0</v>
      </c>
      <c r="E106">
        <v>0</v>
      </c>
      <c r="F106">
        <v>1338</v>
      </c>
      <c r="G106">
        <v>274</v>
      </c>
      <c r="H106">
        <v>2175</v>
      </c>
      <c r="L106" s="1">
        <v>1</v>
      </c>
      <c r="M106" s="1">
        <v>0</v>
      </c>
      <c r="N106" s="1">
        <v>0</v>
      </c>
    </row>
    <row r="107" spans="1:15" x14ac:dyDescent="0.25">
      <c r="A107" t="s">
        <v>207</v>
      </c>
      <c r="B107">
        <v>5</v>
      </c>
      <c r="C107">
        <v>4</v>
      </c>
      <c r="D107">
        <v>0</v>
      </c>
      <c r="E107">
        <v>1</v>
      </c>
      <c r="F107">
        <v>214</v>
      </c>
      <c r="G107">
        <v>37</v>
      </c>
      <c r="H107">
        <v>246</v>
      </c>
      <c r="L107" s="1">
        <v>0.8</v>
      </c>
      <c r="M107" s="1">
        <v>0</v>
      </c>
      <c r="N107" s="1">
        <v>0</v>
      </c>
    </row>
    <row r="108" spans="1:15" x14ac:dyDescent="0.25">
      <c r="A108" t="s">
        <v>208</v>
      </c>
      <c r="B108">
        <v>5</v>
      </c>
      <c r="C108">
        <v>0</v>
      </c>
      <c r="D108">
        <v>2</v>
      </c>
      <c r="E108">
        <v>3</v>
      </c>
      <c r="F108">
        <v>318</v>
      </c>
      <c r="G108">
        <v>126</v>
      </c>
      <c r="H108">
        <v>654</v>
      </c>
      <c r="L108" s="1">
        <v>0</v>
      </c>
      <c r="M108" s="1">
        <v>0.4</v>
      </c>
      <c r="N108" s="1">
        <v>0</v>
      </c>
    </row>
    <row r="109" spans="1:15" x14ac:dyDescent="0.25">
      <c r="A109" t="s">
        <v>209</v>
      </c>
      <c r="B109">
        <v>5</v>
      </c>
      <c r="C109">
        <v>0</v>
      </c>
      <c r="D109">
        <v>4</v>
      </c>
      <c r="E109">
        <v>1</v>
      </c>
      <c r="F109">
        <v>137</v>
      </c>
      <c r="G109">
        <v>27</v>
      </c>
      <c r="H109">
        <v>153</v>
      </c>
      <c r="L109" s="1">
        <v>0</v>
      </c>
      <c r="M109" s="1">
        <v>0.8</v>
      </c>
      <c r="N109" s="1">
        <v>0</v>
      </c>
    </row>
    <row r="110" spans="1:15" x14ac:dyDescent="0.25">
      <c r="A110" t="s">
        <v>210</v>
      </c>
      <c r="B110">
        <v>4</v>
      </c>
      <c r="C110">
        <v>4</v>
      </c>
      <c r="D110">
        <v>0</v>
      </c>
      <c r="E110">
        <v>0</v>
      </c>
      <c r="F110">
        <v>207</v>
      </c>
      <c r="G110">
        <v>47</v>
      </c>
      <c r="H110">
        <v>322</v>
      </c>
      <c r="L110" s="1">
        <v>1</v>
      </c>
      <c r="M110" s="1">
        <v>0</v>
      </c>
      <c r="N110" s="1">
        <v>0</v>
      </c>
    </row>
    <row r="111" spans="1:15" x14ac:dyDescent="0.25">
      <c r="A111" t="s">
        <v>211</v>
      </c>
      <c r="B111">
        <v>4</v>
      </c>
      <c r="C111">
        <v>4</v>
      </c>
      <c r="D111">
        <v>0</v>
      </c>
      <c r="E111">
        <v>0</v>
      </c>
      <c r="F111">
        <v>507</v>
      </c>
      <c r="G111">
        <v>126</v>
      </c>
      <c r="H111">
        <v>590</v>
      </c>
      <c r="L111" s="1">
        <v>1</v>
      </c>
      <c r="M111" s="1">
        <v>0</v>
      </c>
      <c r="N111" s="1">
        <v>0</v>
      </c>
    </row>
    <row r="112" spans="1:15" x14ac:dyDescent="0.25">
      <c r="A112" t="s">
        <v>212</v>
      </c>
      <c r="B112">
        <v>4</v>
      </c>
      <c r="C112">
        <v>4</v>
      </c>
      <c r="D112">
        <v>0</v>
      </c>
      <c r="E112">
        <v>0</v>
      </c>
      <c r="F112">
        <v>772</v>
      </c>
      <c r="G112">
        <v>259</v>
      </c>
      <c r="H112">
        <v>1713</v>
      </c>
      <c r="L112" s="1">
        <v>1</v>
      </c>
      <c r="M112" s="1">
        <v>0</v>
      </c>
      <c r="N112" s="1">
        <v>0</v>
      </c>
    </row>
    <row r="113" spans="1:14" x14ac:dyDescent="0.25">
      <c r="A113" t="s">
        <v>213</v>
      </c>
      <c r="B113">
        <v>4</v>
      </c>
      <c r="C113">
        <v>1</v>
      </c>
      <c r="D113">
        <v>2</v>
      </c>
      <c r="E113">
        <v>1</v>
      </c>
      <c r="F113">
        <v>239</v>
      </c>
      <c r="G113">
        <v>60</v>
      </c>
      <c r="H113">
        <v>293</v>
      </c>
      <c r="L113" s="1">
        <v>0.25</v>
      </c>
      <c r="M113" s="1">
        <v>0.66666666666666663</v>
      </c>
      <c r="N113" s="1">
        <v>0</v>
      </c>
    </row>
    <row r="114" spans="1:14" x14ac:dyDescent="0.25">
      <c r="A114" t="s">
        <v>214</v>
      </c>
      <c r="B114">
        <v>3</v>
      </c>
      <c r="C114">
        <v>3</v>
      </c>
      <c r="D114">
        <v>0</v>
      </c>
      <c r="E114">
        <v>0</v>
      </c>
      <c r="F114">
        <v>127</v>
      </c>
      <c r="G114">
        <v>27</v>
      </c>
      <c r="H114">
        <v>466</v>
      </c>
    </row>
    <row r="115" spans="1:14" x14ac:dyDescent="0.25">
      <c r="A115" t="s">
        <v>215</v>
      </c>
      <c r="B115">
        <v>2</v>
      </c>
      <c r="C115">
        <v>2</v>
      </c>
      <c r="D115">
        <v>0</v>
      </c>
      <c r="E115">
        <v>0</v>
      </c>
      <c r="F115">
        <v>8592</v>
      </c>
      <c r="G115">
        <v>252</v>
      </c>
      <c r="H115">
        <v>2546</v>
      </c>
    </row>
    <row r="116" spans="1:14" x14ac:dyDescent="0.25">
      <c r="A116" t="s">
        <v>216</v>
      </c>
      <c r="B116">
        <v>2</v>
      </c>
      <c r="C116">
        <v>2</v>
      </c>
      <c r="D116">
        <v>0</v>
      </c>
      <c r="E116">
        <v>0</v>
      </c>
      <c r="F116">
        <v>443</v>
      </c>
      <c r="G116">
        <v>48</v>
      </c>
      <c r="H116">
        <v>87</v>
      </c>
    </row>
    <row r="117" spans="1:14" x14ac:dyDescent="0.25">
      <c r="A117" t="s">
        <v>217</v>
      </c>
      <c r="B117">
        <v>2</v>
      </c>
      <c r="C117">
        <v>2</v>
      </c>
      <c r="D117">
        <v>0</v>
      </c>
      <c r="E117">
        <v>0</v>
      </c>
      <c r="F117">
        <v>374</v>
      </c>
      <c r="G117">
        <v>39</v>
      </c>
      <c r="H117">
        <v>113</v>
      </c>
    </row>
    <row r="118" spans="1:14" x14ac:dyDescent="0.25">
      <c r="A118" t="s">
        <v>218</v>
      </c>
      <c r="B118">
        <v>2</v>
      </c>
      <c r="C118">
        <v>2</v>
      </c>
      <c r="D118">
        <v>0</v>
      </c>
      <c r="E118">
        <v>0</v>
      </c>
      <c r="F118">
        <v>1092</v>
      </c>
      <c r="G118">
        <v>208</v>
      </c>
      <c r="H118">
        <v>1280</v>
      </c>
    </row>
    <row r="119" spans="1:14" x14ac:dyDescent="0.25">
      <c r="A119" t="s">
        <v>219</v>
      </c>
      <c r="B119">
        <v>1</v>
      </c>
      <c r="C119">
        <v>1</v>
      </c>
      <c r="D119">
        <v>0</v>
      </c>
      <c r="E119">
        <v>0</v>
      </c>
      <c r="F119">
        <v>374</v>
      </c>
      <c r="G119">
        <v>113</v>
      </c>
      <c r="H119">
        <v>951</v>
      </c>
    </row>
    <row r="120" spans="1:14" x14ac:dyDescent="0.25">
      <c r="A120" t="s">
        <v>220</v>
      </c>
      <c r="B120">
        <v>1</v>
      </c>
      <c r="C120">
        <v>1</v>
      </c>
      <c r="D120">
        <v>0</v>
      </c>
      <c r="E120">
        <v>0</v>
      </c>
      <c r="F120">
        <v>1463</v>
      </c>
      <c r="G120">
        <v>331</v>
      </c>
      <c r="H120">
        <v>2795</v>
      </c>
    </row>
    <row r="121" spans="1:14" x14ac:dyDescent="0.25">
      <c r="A121" t="s">
        <v>221</v>
      </c>
      <c r="B121">
        <v>1</v>
      </c>
      <c r="C121">
        <v>1</v>
      </c>
      <c r="D121">
        <v>0</v>
      </c>
      <c r="E121">
        <v>0</v>
      </c>
      <c r="F121">
        <v>6</v>
      </c>
      <c r="G121">
        <v>1</v>
      </c>
      <c r="H121">
        <v>14</v>
      </c>
    </row>
    <row r="122" spans="1:14" x14ac:dyDescent="0.25">
      <c r="A122" t="s">
        <v>222</v>
      </c>
      <c r="B122">
        <v>0</v>
      </c>
      <c r="C122">
        <v>0</v>
      </c>
      <c r="D122">
        <v>0</v>
      </c>
      <c r="E122">
        <v>0</v>
      </c>
      <c r="F122">
        <v>3174</v>
      </c>
      <c r="G122">
        <v>702</v>
      </c>
      <c r="H122">
        <v>2344</v>
      </c>
    </row>
    <row r="123" spans="1:14" x14ac:dyDescent="0.25">
      <c r="A123" t="s">
        <v>223</v>
      </c>
      <c r="B123">
        <v>0</v>
      </c>
      <c r="C123">
        <v>0</v>
      </c>
      <c r="D123">
        <v>0</v>
      </c>
      <c r="E123">
        <v>0</v>
      </c>
      <c r="F123">
        <v>147</v>
      </c>
      <c r="G123">
        <v>53</v>
      </c>
      <c r="H123">
        <v>929</v>
      </c>
    </row>
    <row r="124" spans="1:14" x14ac:dyDescent="0.25">
      <c r="A124" t="s">
        <v>224</v>
      </c>
      <c r="B124">
        <v>0</v>
      </c>
      <c r="C124">
        <v>0</v>
      </c>
      <c r="D124">
        <v>0</v>
      </c>
      <c r="E124">
        <v>0</v>
      </c>
      <c r="F124">
        <v>2442</v>
      </c>
      <c r="G124">
        <v>310</v>
      </c>
      <c r="H124">
        <v>1333</v>
      </c>
    </row>
    <row r="125" spans="1:14" x14ac:dyDescent="0.25">
      <c r="A125" t="s">
        <v>225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37</v>
      </c>
    </row>
    <row r="126" spans="1:14" x14ac:dyDescent="0.25">
      <c r="A126" t="s">
        <v>226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14" x14ac:dyDescent="0.25">
      <c r="A127" t="s">
        <v>227</v>
      </c>
      <c r="B127">
        <v>0</v>
      </c>
      <c r="C127">
        <v>0</v>
      </c>
      <c r="D127">
        <v>0</v>
      </c>
      <c r="E127">
        <v>0</v>
      </c>
      <c r="F127">
        <v>64</v>
      </c>
      <c r="G127">
        <v>50</v>
      </c>
      <c r="H127">
        <v>183</v>
      </c>
    </row>
    <row r="128" spans="1:14" x14ac:dyDescent="0.25">
      <c r="A128" t="s">
        <v>228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t="s">
        <v>229</v>
      </c>
      <c r="B129">
        <v>0</v>
      </c>
      <c r="C129">
        <v>0</v>
      </c>
      <c r="D129">
        <v>0</v>
      </c>
      <c r="E129">
        <v>0</v>
      </c>
      <c r="F129">
        <v>959</v>
      </c>
      <c r="G129">
        <v>119</v>
      </c>
      <c r="H129">
        <v>1144</v>
      </c>
    </row>
    <row r="130" spans="1:8" x14ac:dyDescent="0.25">
      <c r="A130" t="s">
        <v>230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189</v>
      </c>
    </row>
    <row r="131" spans="1:8" x14ac:dyDescent="0.25">
      <c r="A131" t="s">
        <v>231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t="s">
        <v>232</v>
      </c>
      <c r="B132">
        <v>0</v>
      </c>
      <c r="C132">
        <v>0</v>
      </c>
      <c r="D132">
        <v>0</v>
      </c>
      <c r="E132">
        <v>0</v>
      </c>
      <c r="F132">
        <v>6</v>
      </c>
      <c r="G132">
        <v>4</v>
      </c>
      <c r="H132">
        <v>469</v>
      </c>
    </row>
    <row r="133" spans="1:8" x14ac:dyDescent="0.25">
      <c r="A133" t="s">
        <v>233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461</v>
      </c>
    </row>
    <row r="134" spans="1:8" x14ac:dyDescent="0.25">
      <c r="A134" t="s">
        <v>234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1</v>
      </c>
      <c r="H134">
        <v>2811</v>
      </c>
    </row>
    <row r="135" spans="1:8" x14ac:dyDescent="0.25">
      <c r="A135" t="s">
        <v>235</v>
      </c>
      <c r="B135">
        <v>0</v>
      </c>
      <c r="C135">
        <v>0</v>
      </c>
      <c r="D135">
        <v>0</v>
      </c>
      <c r="E135">
        <v>0</v>
      </c>
      <c r="F135">
        <v>960</v>
      </c>
      <c r="G135">
        <v>119</v>
      </c>
      <c r="H135">
        <v>293</v>
      </c>
    </row>
    <row r="136" spans="1:8" x14ac:dyDescent="0.25">
      <c r="A136" t="s">
        <v>236</v>
      </c>
      <c r="B136">
        <v>0</v>
      </c>
      <c r="C136">
        <v>0</v>
      </c>
      <c r="D136">
        <v>0</v>
      </c>
      <c r="E136">
        <v>0</v>
      </c>
      <c r="F136">
        <v>9</v>
      </c>
      <c r="G136">
        <v>1</v>
      </c>
      <c r="H136">
        <v>78</v>
      </c>
    </row>
    <row r="137" spans="1:8" x14ac:dyDescent="0.25">
      <c r="A137" t="s">
        <v>237</v>
      </c>
      <c r="B137">
        <v>0</v>
      </c>
      <c r="C137">
        <v>0</v>
      </c>
      <c r="D137">
        <v>0</v>
      </c>
      <c r="E137">
        <v>0</v>
      </c>
      <c r="F137">
        <v>918</v>
      </c>
      <c r="G137">
        <v>70</v>
      </c>
      <c r="H137">
        <v>161</v>
      </c>
    </row>
    <row r="138" spans="1:8" x14ac:dyDescent="0.25">
      <c r="A138" t="s">
        <v>238</v>
      </c>
      <c r="B138">
        <v>0</v>
      </c>
      <c r="C138">
        <v>0</v>
      </c>
      <c r="D138">
        <v>0</v>
      </c>
      <c r="E138">
        <v>0</v>
      </c>
      <c r="F138">
        <v>1925</v>
      </c>
      <c r="G138">
        <v>223</v>
      </c>
      <c r="H138">
        <v>659</v>
      </c>
    </row>
    <row r="139" spans="1:8" x14ac:dyDescent="0.25">
      <c r="A139" t="s">
        <v>239</v>
      </c>
      <c r="B139">
        <v>0</v>
      </c>
      <c r="C139">
        <v>0</v>
      </c>
      <c r="D139">
        <v>0</v>
      </c>
      <c r="E139">
        <v>0</v>
      </c>
      <c r="F139">
        <v>85</v>
      </c>
      <c r="G139">
        <v>23</v>
      </c>
      <c r="H139">
        <v>103</v>
      </c>
    </row>
    <row r="140" spans="1:8" x14ac:dyDescent="0.25">
      <c r="A140" t="s">
        <v>240</v>
      </c>
      <c r="B140">
        <v>0</v>
      </c>
      <c r="C140">
        <v>0</v>
      </c>
      <c r="D140">
        <v>0</v>
      </c>
      <c r="E140">
        <v>0</v>
      </c>
      <c r="F140">
        <v>511</v>
      </c>
      <c r="G140">
        <v>38</v>
      </c>
      <c r="H140">
        <v>54</v>
      </c>
    </row>
    <row r="141" spans="1:8" x14ac:dyDescent="0.25">
      <c r="A141" t="s">
        <v>241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1</v>
      </c>
      <c r="H141">
        <v>19</v>
      </c>
    </row>
    <row r="142" spans="1:8" x14ac:dyDescent="0.25">
      <c r="A142" t="s">
        <v>242</v>
      </c>
      <c r="B142">
        <v>0</v>
      </c>
      <c r="C142">
        <v>0</v>
      </c>
      <c r="D142">
        <v>0</v>
      </c>
      <c r="E142">
        <v>0</v>
      </c>
      <c r="F142">
        <v>228</v>
      </c>
      <c r="G142">
        <v>54</v>
      </c>
      <c r="H142">
        <v>316</v>
      </c>
    </row>
    <row r="143" spans="1:8" x14ac:dyDescent="0.25">
      <c r="A143" t="s">
        <v>243</v>
      </c>
      <c r="B143">
        <v>0</v>
      </c>
      <c r="C143">
        <v>0</v>
      </c>
      <c r="D143">
        <v>0</v>
      </c>
      <c r="E143">
        <v>0</v>
      </c>
      <c r="F143">
        <v>122</v>
      </c>
      <c r="G143">
        <v>26</v>
      </c>
      <c r="H143">
        <v>69</v>
      </c>
    </row>
    <row r="144" spans="1:8" x14ac:dyDescent="0.25">
      <c r="A144" t="s">
        <v>244</v>
      </c>
      <c r="B144">
        <v>0</v>
      </c>
      <c r="C144">
        <v>0</v>
      </c>
      <c r="D144">
        <v>0</v>
      </c>
      <c r="E144">
        <v>0</v>
      </c>
      <c r="F144">
        <v>91</v>
      </c>
      <c r="G144">
        <v>22</v>
      </c>
      <c r="H144">
        <v>95</v>
      </c>
    </row>
    <row r="145" spans="1:8" x14ac:dyDescent="0.25">
      <c r="A145" t="s">
        <v>245</v>
      </c>
      <c r="B145">
        <v>0</v>
      </c>
      <c r="C145">
        <v>0</v>
      </c>
      <c r="D145">
        <v>0</v>
      </c>
      <c r="E145">
        <v>0</v>
      </c>
      <c r="F145">
        <v>833</v>
      </c>
      <c r="G145">
        <v>165</v>
      </c>
      <c r="H145">
        <v>396</v>
      </c>
    </row>
    <row r="146" spans="1:8" x14ac:dyDescent="0.25">
      <c r="A146" t="s">
        <v>246</v>
      </c>
      <c r="B146">
        <v>0</v>
      </c>
      <c r="C146">
        <v>0</v>
      </c>
      <c r="D146">
        <v>0</v>
      </c>
      <c r="E146">
        <v>0</v>
      </c>
      <c r="F146">
        <v>2983</v>
      </c>
      <c r="G146">
        <v>154</v>
      </c>
      <c r="H146">
        <v>482</v>
      </c>
    </row>
    <row r="147" spans="1:8" x14ac:dyDescent="0.25">
      <c r="A147" t="s">
        <v>247</v>
      </c>
      <c r="B147">
        <v>0</v>
      </c>
      <c r="C147">
        <v>0</v>
      </c>
      <c r="D147">
        <v>0</v>
      </c>
      <c r="E147">
        <v>0</v>
      </c>
      <c r="F147">
        <v>390</v>
      </c>
      <c r="G147">
        <v>164</v>
      </c>
      <c r="H147">
        <v>626</v>
      </c>
    </row>
    <row r="148" spans="1:8" x14ac:dyDescent="0.25">
      <c r="A148" t="s">
        <v>248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78</v>
      </c>
    </row>
    <row r="149" spans="1:8" x14ac:dyDescent="0.25">
      <c r="A149" t="s">
        <v>249</v>
      </c>
      <c r="B149">
        <v>0</v>
      </c>
      <c r="C149">
        <v>0</v>
      </c>
      <c r="D149">
        <v>0</v>
      </c>
      <c r="E149">
        <v>0</v>
      </c>
      <c r="F149">
        <v>447</v>
      </c>
      <c r="G149">
        <v>126</v>
      </c>
      <c r="H149">
        <v>576</v>
      </c>
    </row>
    <row r="150" spans="1:8" x14ac:dyDescent="0.25">
      <c r="A150" t="s">
        <v>250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595</v>
      </c>
    </row>
    <row r="151" spans="1:8" x14ac:dyDescent="0.25">
      <c r="A151" t="s">
        <v>251</v>
      </c>
      <c r="B151">
        <v>0</v>
      </c>
      <c r="C151">
        <v>0</v>
      </c>
      <c r="D151">
        <v>0</v>
      </c>
      <c r="E151">
        <v>0</v>
      </c>
      <c r="F151">
        <v>952</v>
      </c>
      <c r="G151">
        <v>67</v>
      </c>
      <c r="H151">
        <v>223</v>
      </c>
    </row>
    <row r="152" spans="1:8" x14ac:dyDescent="0.25">
      <c r="A152" t="s">
        <v>252</v>
      </c>
      <c r="B152">
        <v>0</v>
      </c>
      <c r="C152">
        <v>0</v>
      </c>
      <c r="D152">
        <v>0</v>
      </c>
      <c r="E152">
        <v>0</v>
      </c>
      <c r="F152">
        <v>332</v>
      </c>
      <c r="G152">
        <v>41</v>
      </c>
      <c r="H152">
        <v>248</v>
      </c>
    </row>
    <row r="153" spans="1:8" x14ac:dyDescent="0.25">
      <c r="A153" t="s">
        <v>253</v>
      </c>
      <c r="B153">
        <v>0</v>
      </c>
      <c r="C153">
        <v>0</v>
      </c>
      <c r="D153">
        <v>0</v>
      </c>
      <c r="E153">
        <v>0</v>
      </c>
      <c r="F153">
        <v>4526</v>
      </c>
      <c r="G153">
        <v>227</v>
      </c>
      <c r="H153">
        <v>526</v>
      </c>
    </row>
    <row r="154" spans="1:8" x14ac:dyDescent="0.25">
      <c r="A154" t="s">
        <v>254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81</v>
      </c>
    </row>
    <row r="155" spans="1:8" x14ac:dyDescent="0.25">
      <c r="A155" t="s">
        <v>255</v>
      </c>
      <c r="B155">
        <v>0</v>
      </c>
      <c r="C155">
        <v>0</v>
      </c>
      <c r="D155">
        <v>0</v>
      </c>
      <c r="E155">
        <v>0</v>
      </c>
      <c r="F155">
        <v>2885</v>
      </c>
      <c r="G155">
        <v>322</v>
      </c>
      <c r="H155">
        <v>1087</v>
      </c>
    </row>
    <row r="156" spans="1:8" x14ac:dyDescent="0.25">
      <c r="A156" t="s">
        <v>256</v>
      </c>
      <c r="B156">
        <v>0</v>
      </c>
      <c r="C156">
        <v>0</v>
      </c>
      <c r="D156">
        <v>0</v>
      </c>
      <c r="E156">
        <v>0</v>
      </c>
      <c r="F156">
        <v>462</v>
      </c>
      <c r="G156">
        <v>86</v>
      </c>
      <c r="H156">
        <v>314</v>
      </c>
    </row>
    <row r="157" spans="1:8" x14ac:dyDescent="0.25">
      <c r="A157" t="s">
        <v>257</v>
      </c>
      <c r="B157">
        <v>0</v>
      </c>
      <c r="C157">
        <v>0</v>
      </c>
      <c r="D157">
        <v>0</v>
      </c>
      <c r="E157">
        <v>0</v>
      </c>
      <c r="F157">
        <v>1384</v>
      </c>
      <c r="G157">
        <v>106</v>
      </c>
      <c r="H157">
        <v>273</v>
      </c>
    </row>
    <row r="158" spans="1:8" x14ac:dyDescent="0.25">
      <c r="A158" t="s">
        <v>258</v>
      </c>
      <c r="B158">
        <v>0</v>
      </c>
      <c r="C158">
        <v>0</v>
      </c>
      <c r="D158">
        <v>0</v>
      </c>
      <c r="E158">
        <v>0</v>
      </c>
      <c r="F158">
        <v>74</v>
      </c>
      <c r="G158">
        <v>27</v>
      </c>
      <c r="H158">
        <v>305</v>
      </c>
    </row>
    <row r="159" spans="1:8" x14ac:dyDescent="0.25">
      <c r="A159" t="s">
        <v>259</v>
      </c>
      <c r="B159">
        <v>0</v>
      </c>
      <c r="C159">
        <v>0</v>
      </c>
      <c r="D159">
        <v>0</v>
      </c>
      <c r="E159">
        <v>0</v>
      </c>
      <c r="F159">
        <v>321</v>
      </c>
      <c r="G159">
        <v>32</v>
      </c>
      <c r="H159">
        <v>125</v>
      </c>
    </row>
    <row r="160" spans="1:8" x14ac:dyDescent="0.25">
      <c r="A160" t="s">
        <v>260</v>
      </c>
      <c r="B160">
        <v>0</v>
      </c>
      <c r="C160">
        <v>0</v>
      </c>
      <c r="D160">
        <v>0</v>
      </c>
      <c r="E160">
        <v>0</v>
      </c>
      <c r="F160">
        <v>145</v>
      </c>
      <c r="G160">
        <v>25</v>
      </c>
      <c r="H160">
        <v>104</v>
      </c>
    </row>
    <row r="161" spans="1:8" x14ac:dyDescent="0.25">
      <c r="A161" t="s">
        <v>261</v>
      </c>
      <c r="B161">
        <v>0</v>
      </c>
      <c r="C161">
        <v>0</v>
      </c>
      <c r="D161">
        <v>0</v>
      </c>
      <c r="E161">
        <v>0</v>
      </c>
      <c r="F161">
        <v>239</v>
      </c>
      <c r="G161">
        <v>42</v>
      </c>
      <c r="H161">
        <v>167</v>
      </c>
    </row>
    <row r="162" spans="1:8" x14ac:dyDescent="0.25">
      <c r="A162" t="s">
        <v>262</v>
      </c>
      <c r="B162">
        <v>0</v>
      </c>
      <c r="C162">
        <v>0</v>
      </c>
      <c r="D162">
        <v>0</v>
      </c>
      <c r="E162">
        <v>0</v>
      </c>
      <c r="F162">
        <v>1064</v>
      </c>
      <c r="G162">
        <v>154</v>
      </c>
      <c r="H162">
        <v>424</v>
      </c>
    </row>
    <row r="163" spans="1:8" x14ac:dyDescent="0.25">
      <c r="A163" t="s">
        <v>263</v>
      </c>
      <c r="B163">
        <v>0</v>
      </c>
      <c r="C163">
        <v>0</v>
      </c>
      <c r="D163">
        <v>0</v>
      </c>
      <c r="E163">
        <v>0</v>
      </c>
      <c r="F163">
        <v>239</v>
      </c>
      <c r="G163">
        <v>52</v>
      </c>
      <c r="H163">
        <v>185</v>
      </c>
    </row>
    <row r="164" spans="1:8" x14ac:dyDescent="0.25">
      <c r="A164" t="s">
        <v>264</v>
      </c>
      <c r="B164">
        <v>0</v>
      </c>
      <c r="C164">
        <v>0</v>
      </c>
      <c r="D164">
        <v>0</v>
      </c>
      <c r="E164">
        <v>0</v>
      </c>
      <c r="F164">
        <v>678</v>
      </c>
      <c r="G164">
        <v>105</v>
      </c>
      <c r="H164">
        <v>347</v>
      </c>
    </row>
    <row r="165" spans="1:8" x14ac:dyDescent="0.25">
      <c r="A165" t="s">
        <v>265</v>
      </c>
      <c r="B165">
        <v>0</v>
      </c>
      <c r="C165">
        <v>0</v>
      </c>
      <c r="D165">
        <v>0</v>
      </c>
      <c r="E165">
        <v>0</v>
      </c>
      <c r="F165">
        <v>396</v>
      </c>
      <c r="G165">
        <v>68</v>
      </c>
      <c r="H165">
        <v>162</v>
      </c>
    </row>
    <row r="166" spans="1:8" x14ac:dyDescent="0.25">
      <c r="A166" t="s">
        <v>266</v>
      </c>
      <c r="B166">
        <v>0</v>
      </c>
      <c r="C166">
        <v>0</v>
      </c>
      <c r="D166">
        <v>0</v>
      </c>
      <c r="E166">
        <v>0</v>
      </c>
      <c r="F166">
        <v>63</v>
      </c>
      <c r="G166">
        <v>16</v>
      </c>
      <c r="H166">
        <v>115</v>
      </c>
    </row>
    <row r="167" spans="1:8" x14ac:dyDescent="0.25">
      <c r="A167" t="s">
        <v>267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104</v>
      </c>
    </row>
    <row r="168" spans="1:8" x14ac:dyDescent="0.25">
      <c r="A168" t="s">
        <v>268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t="s">
        <v>269</v>
      </c>
      <c r="B169">
        <v>0</v>
      </c>
      <c r="C169">
        <v>0</v>
      </c>
      <c r="D169">
        <v>0</v>
      </c>
      <c r="E169">
        <v>0</v>
      </c>
      <c r="F169">
        <v>119</v>
      </c>
      <c r="G169">
        <v>54</v>
      </c>
      <c r="H169">
        <v>1781</v>
      </c>
    </row>
    <row r="170" spans="1:8" x14ac:dyDescent="0.25">
      <c r="A170" t="s">
        <v>270</v>
      </c>
      <c r="B170">
        <v>0</v>
      </c>
      <c r="C170">
        <v>0</v>
      </c>
      <c r="D170">
        <v>0</v>
      </c>
      <c r="E170">
        <v>0</v>
      </c>
      <c r="F170">
        <v>703</v>
      </c>
      <c r="G170">
        <v>125</v>
      </c>
      <c r="H170">
        <v>708</v>
      </c>
    </row>
    <row r="171" spans="1:8" x14ac:dyDescent="0.25">
      <c r="A171" t="s">
        <v>271</v>
      </c>
      <c r="B171">
        <v>0</v>
      </c>
      <c r="C171">
        <v>0</v>
      </c>
      <c r="D171">
        <v>0</v>
      </c>
      <c r="E171">
        <v>0</v>
      </c>
      <c r="F171">
        <v>60</v>
      </c>
      <c r="G171">
        <v>7</v>
      </c>
      <c r="H171">
        <v>107</v>
      </c>
    </row>
    <row r="172" spans="1:8" x14ac:dyDescent="0.25">
      <c r="A172" t="s">
        <v>272</v>
      </c>
      <c r="B172">
        <v>0</v>
      </c>
      <c r="C172">
        <v>0</v>
      </c>
      <c r="D172">
        <v>0</v>
      </c>
      <c r="E172">
        <v>0</v>
      </c>
      <c r="F172">
        <v>279</v>
      </c>
      <c r="G172">
        <v>51</v>
      </c>
      <c r="H172">
        <v>261</v>
      </c>
    </row>
    <row r="173" spans="1:8" x14ac:dyDescent="0.25">
      <c r="A173" t="s">
        <v>273</v>
      </c>
      <c r="B173">
        <v>0</v>
      </c>
      <c r="C173">
        <v>0</v>
      </c>
      <c r="D173">
        <v>0</v>
      </c>
      <c r="E173">
        <v>0</v>
      </c>
      <c r="F173">
        <v>2221</v>
      </c>
      <c r="G173">
        <v>217</v>
      </c>
      <c r="H173">
        <v>604</v>
      </c>
    </row>
    <row r="174" spans="1:8" x14ac:dyDescent="0.25">
      <c r="A174" t="s">
        <v>274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2864</v>
      </c>
    </row>
    <row r="175" spans="1:8" x14ac:dyDescent="0.25">
      <c r="A175" t="s">
        <v>275</v>
      </c>
      <c r="B175">
        <v>0</v>
      </c>
      <c r="C175">
        <v>0</v>
      </c>
      <c r="D175">
        <v>0</v>
      </c>
      <c r="E175">
        <v>0</v>
      </c>
      <c r="F175">
        <v>177</v>
      </c>
      <c r="G175">
        <v>45</v>
      </c>
      <c r="H175">
        <v>169</v>
      </c>
    </row>
    <row r="176" spans="1:8" x14ac:dyDescent="0.25">
      <c r="A176" t="s">
        <v>276</v>
      </c>
      <c r="B176">
        <v>0</v>
      </c>
      <c r="C176">
        <v>0</v>
      </c>
      <c r="D176">
        <v>0</v>
      </c>
      <c r="E176">
        <v>0</v>
      </c>
      <c r="F176">
        <v>2368</v>
      </c>
      <c r="G176">
        <v>341</v>
      </c>
      <c r="H176">
        <v>1273</v>
      </c>
    </row>
    <row r="177" spans="1:8" x14ac:dyDescent="0.25">
      <c r="A177" t="s">
        <v>277</v>
      </c>
      <c r="B177">
        <v>0</v>
      </c>
      <c r="C177">
        <v>0</v>
      </c>
      <c r="D177">
        <v>0</v>
      </c>
      <c r="E177">
        <v>0</v>
      </c>
      <c r="F177">
        <v>654</v>
      </c>
      <c r="G177">
        <v>63</v>
      </c>
      <c r="H177">
        <v>1853</v>
      </c>
    </row>
    <row r="178" spans="1:8" x14ac:dyDescent="0.25">
      <c r="A178" t="s">
        <v>278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6019</v>
      </c>
    </row>
    <row r="179" spans="1:8" x14ac:dyDescent="0.25">
      <c r="A179" t="s">
        <v>279</v>
      </c>
      <c r="B179">
        <v>0</v>
      </c>
      <c r="C179">
        <v>0</v>
      </c>
      <c r="D179">
        <v>0</v>
      </c>
      <c r="E179">
        <v>0</v>
      </c>
      <c r="F179">
        <v>42</v>
      </c>
      <c r="G179">
        <v>8</v>
      </c>
      <c r="H179">
        <v>4684</v>
      </c>
    </row>
    <row r="180" spans="1:8" x14ac:dyDescent="0.25">
      <c r="A180" t="s">
        <v>280</v>
      </c>
      <c r="B180">
        <v>0</v>
      </c>
      <c r="C180">
        <v>0</v>
      </c>
      <c r="D180">
        <v>0</v>
      </c>
      <c r="E180">
        <v>0</v>
      </c>
      <c r="F180">
        <v>1214</v>
      </c>
      <c r="G180">
        <v>95</v>
      </c>
      <c r="H180">
        <v>422</v>
      </c>
    </row>
    <row r="181" spans="1:8" x14ac:dyDescent="0.25">
      <c r="A181" t="s">
        <v>281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t="s">
        <v>282</v>
      </c>
      <c r="B182">
        <v>0</v>
      </c>
      <c r="C182">
        <v>0</v>
      </c>
      <c r="D182">
        <v>0</v>
      </c>
      <c r="E182">
        <v>0</v>
      </c>
      <c r="F182">
        <v>44</v>
      </c>
      <c r="G182">
        <v>20</v>
      </c>
      <c r="H182">
        <v>0</v>
      </c>
    </row>
    <row r="183" spans="1:8" x14ac:dyDescent="0.25">
      <c r="A183" t="s">
        <v>283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 t="s">
        <v>284</v>
      </c>
      <c r="B184">
        <v>0</v>
      </c>
      <c r="C184">
        <v>0</v>
      </c>
      <c r="D184">
        <v>0</v>
      </c>
      <c r="E184">
        <v>0</v>
      </c>
      <c r="F184">
        <v>303</v>
      </c>
      <c r="G184">
        <v>74</v>
      </c>
      <c r="H184">
        <v>0</v>
      </c>
    </row>
    <row r="185" spans="1:8" x14ac:dyDescent="0.25">
      <c r="A185" t="s">
        <v>285</v>
      </c>
      <c r="B185">
        <v>0</v>
      </c>
      <c r="C185">
        <v>0</v>
      </c>
      <c r="D185">
        <v>0</v>
      </c>
      <c r="E185">
        <v>0</v>
      </c>
      <c r="F185">
        <v>2</v>
      </c>
      <c r="G185">
        <v>1</v>
      </c>
      <c r="H185">
        <v>252</v>
      </c>
    </row>
    <row r="186" spans="1:8" x14ac:dyDescent="0.25">
      <c r="A186" t="s">
        <v>286</v>
      </c>
      <c r="B186">
        <v>0</v>
      </c>
      <c r="C186">
        <v>0</v>
      </c>
      <c r="D186">
        <v>0</v>
      </c>
      <c r="E186">
        <v>0</v>
      </c>
      <c r="F186">
        <v>110</v>
      </c>
      <c r="G186">
        <v>8</v>
      </c>
      <c r="H186">
        <v>334</v>
      </c>
    </row>
    <row r="187" spans="1:8" x14ac:dyDescent="0.25">
      <c r="A187" t="s">
        <v>287</v>
      </c>
      <c r="B187">
        <v>0</v>
      </c>
      <c r="C187">
        <v>0</v>
      </c>
      <c r="D187">
        <v>0</v>
      </c>
      <c r="E187">
        <v>0</v>
      </c>
      <c r="F187">
        <v>830</v>
      </c>
      <c r="G187">
        <v>153</v>
      </c>
      <c r="H187">
        <v>912</v>
      </c>
    </row>
    <row r="188" spans="1:8" x14ac:dyDescent="0.25">
      <c r="A188" t="s">
        <v>288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333</v>
      </c>
    </row>
    <row r="189" spans="1:8" x14ac:dyDescent="0.25">
      <c r="A189" t="s">
        <v>289</v>
      </c>
      <c r="B189">
        <v>0</v>
      </c>
      <c r="C189">
        <v>0</v>
      </c>
      <c r="D189">
        <v>0</v>
      </c>
      <c r="E189">
        <v>0</v>
      </c>
      <c r="F189">
        <v>351</v>
      </c>
      <c r="G189">
        <v>155</v>
      </c>
      <c r="H189">
        <v>3516</v>
      </c>
    </row>
    <row r="190" spans="1:8" x14ac:dyDescent="0.25">
      <c r="A190" t="s">
        <v>290</v>
      </c>
      <c r="B190">
        <v>0</v>
      </c>
      <c r="C190">
        <v>0</v>
      </c>
      <c r="D190">
        <v>0</v>
      </c>
      <c r="E190">
        <v>0</v>
      </c>
      <c r="F190">
        <v>281</v>
      </c>
      <c r="G190">
        <v>64</v>
      </c>
      <c r="H190">
        <v>657</v>
      </c>
    </row>
    <row r="191" spans="1:8" x14ac:dyDescent="0.25">
      <c r="A191" t="s">
        <v>291</v>
      </c>
      <c r="B191">
        <v>0</v>
      </c>
      <c r="C191">
        <v>0</v>
      </c>
      <c r="D191">
        <v>0</v>
      </c>
      <c r="E191">
        <v>0</v>
      </c>
      <c r="F191">
        <v>219</v>
      </c>
      <c r="G191">
        <v>37</v>
      </c>
      <c r="H191">
        <v>1806</v>
      </c>
    </row>
    <row r="192" spans="1:8" x14ac:dyDescent="0.25">
      <c r="A192" t="s">
        <v>292</v>
      </c>
      <c r="B192">
        <v>0</v>
      </c>
      <c r="C192">
        <v>0</v>
      </c>
      <c r="D192">
        <v>0</v>
      </c>
      <c r="E192">
        <v>0</v>
      </c>
      <c r="F192">
        <v>48</v>
      </c>
      <c r="G192">
        <v>17</v>
      </c>
      <c r="H192">
        <v>841</v>
      </c>
    </row>
    <row r="193" spans="1:8" x14ac:dyDescent="0.25">
      <c r="A193" t="s">
        <v>293</v>
      </c>
      <c r="B193">
        <v>0</v>
      </c>
      <c r="C193">
        <v>0</v>
      </c>
      <c r="D193">
        <v>0</v>
      </c>
      <c r="E193">
        <v>0</v>
      </c>
      <c r="F193">
        <v>115</v>
      </c>
      <c r="G193">
        <v>31</v>
      </c>
      <c r="H193">
        <v>427</v>
      </c>
    </row>
    <row r="194" spans="1:8" x14ac:dyDescent="0.25">
      <c r="A194" t="s">
        <v>294</v>
      </c>
      <c r="B194">
        <v>0</v>
      </c>
      <c r="C194">
        <v>0</v>
      </c>
      <c r="D194">
        <v>0</v>
      </c>
      <c r="E194">
        <v>0</v>
      </c>
      <c r="F194">
        <v>15</v>
      </c>
      <c r="G194">
        <v>9</v>
      </c>
      <c r="H194">
        <v>7607</v>
      </c>
    </row>
    <row r="195" spans="1:8" x14ac:dyDescent="0.25">
      <c r="A195" t="s">
        <v>295</v>
      </c>
      <c r="B195">
        <v>0</v>
      </c>
      <c r="C195">
        <v>0</v>
      </c>
      <c r="D195">
        <v>0</v>
      </c>
      <c r="E195">
        <v>0</v>
      </c>
      <c r="F195">
        <v>1134</v>
      </c>
      <c r="G195">
        <v>138</v>
      </c>
      <c r="H195">
        <v>667</v>
      </c>
    </row>
    <row r="196" spans="1:8" x14ac:dyDescent="0.25">
      <c r="A196" t="s">
        <v>296</v>
      </c>
      <c r="B196">
        <v>0</v>
      </c>
      <c r="C196">
        <v>0</v>
      </c>
      <c r="D196">
        <v>0</v>
      </c>
      <c r="E196">
        <v>0</v>
      </c>
      <c r="F196">
        <v>10</v>
      </c>
      <c r="G196">
        <v>2</v>
      </c>
      <c r="H196">
        <v>210</v>
      </c>
    </row>
    <row r="197" spans="1:8" x14ac:dyDescent="0.25">
      <c r="A197" t="s">
        <v>297</v>
      </c>
      <c r="B197">
        <v>0</v>
      </c>
      <c r="C197">
        <v>0</v>
      </c>
      <c r="D197">
        <v>0</v>
      </c>
      <c r="E197">
        <v>0</v>
      </c>
      <c r="F197">
        <v>3965</v>
      </c>
      <c r="G197">
        <v>855</v>
      </c>
      <c r="H197">
        <v>5878</v>
      </c>
    </row>
    <row r="198" spans="1:8" x14ac:dyDescent="0.25">
      <c r="A198" t="s">
        <v>298</v>
      </c>
      <c r="B198">
        <v>0</v>
      </c>
      <c r="C198">
        <v>0</v>
      </c>
      <c r="D198">
        <v>0</v>
      </c>
      <c r="E198">
        <v>0</v>
      </c>
      <c r="F198">
        <v>370</v>
      </c>
      <c r="G198">
        <v>72</v>
      </c>
      <c r="H198">
        <v>1080</v>
      </c>
    </row>
    <row r="199" spans="1:8" x14ac:dyDescent="0.25">
      <c r="A199" t="s">
        <v>299</v>
      </c>
      <c r="B199">
        <v>0</v>
      </c>
      <c r="C199">
        <v>0</v>
      </c>
      <c r="D199">
        <v>0</v>
      </c>
      <c r="E199">
        <v>0</v>
      </c>
      <c r="F199">
        <v>1299</v>
      </c>
      <c r="G199">
        <v>200</v>
      </c>
      <c r="H199">
        <v>1405</v>
      </c>
    </row>
    <row r="200" spans="1:8" x14ac:dyDescent="0.25">
      <c r="A200" t="s">
        <v>300</v>
      </c>
      <c r="B200">
        <v>0</v>
      </c>
      <c r="C200">
        <v>0</v>
      </c>
      <c r="D200">
        <v>0</v>
      </c>
      <c r="E200">
        <v>0</v>
      </c>
      <c r="F200">
        <v>75</v>
      </c>
      <c r="G200">
        <v>21</v>
      </c>
      <c r="H200">
        <v>1630</v>
      </c>
    </row>
    <row r="201" spans="1:8" x14ac:dyDescent="0.25">
      <c r="A201" t="s">
        <v>301</v>
      </c>
      <c r="B201">
        <v>0</v>
      </c>
      <c r="C201">
        <v>0</v>
      </c>
      <c r="D201">
        <v>0</v>
      </c>
      <c r="E201">
        <v>0</v>
      </c>
      <c r="F201">
        <v>2334</v>
      </c>
      <c r="G201">
        <v>413</v>
      </c>
      <c r="H201">
        <v>1683</v>
      </c>
    </row>
    <row r="202" spans="1:8" x14ac:dyDescent="0.25">
      <c r="A202" t="s">
        <v>302</v>
      </c>
      <c r="B202">
        <v>0</v>
      </c>
      <c r="C202">
        <v>0</v>
      </c>
      <c r="D202">
        <v>0</v>
      </c>
      <c r="E202">
        <v>0</v>
      </c>
      <c r="F202">
        <v>6</v>
      </c>
      <c r="G202">
        <v>2</v>
      </c>
      <c r="H202">
        <v>667</v>
      </c>
    </row>
    <row r="203" spans="1:8" x14ac:dyDescent="0.25">
      <c r="A203" t="s">
        <v>303</v>
      </c>
      <c r="B203">
        <v>0</v>
      </c>
      <c r="C203">
        <v>0</v>
      </c>
      <c r="D203">
        <v>0</v>
      </c>
      <c r="E203">
        <v>0</v>
      </c>
      <c r="F203">
        <v>1193</v>
      </c>
      <c r="G203">
        <v>197</v>
      </c>
      <c r="H203">
        <v>5934</v>
      </c>
    </row>
    <row r="204" spans="1:8" x14ac:dyDescent="0.25">
      <c r="A204" t="s">
        <v>304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 t="s">
        <v>305</v>
      </c>
      <c r="B205">
        <v>0</v>
      </c>
      <c r="C205">
        <v>0</v>
      </c>
      <c r="D205">
        <v>0</v>
      </c>
      <c r="E205">
        <v>0</v>
      </c>
      <c r="F205">
        <v>490</v>
      </c>
      <c r="G205">
        <v>130</v>
      </c>
      <c r="H205">
        <v>1544</v>
      </c>
    </row>
    <row r="206" spans="1:8" x14ac:dyDescent="0.25">
      <c r="A206" t="s">
        <v>306</v>
      </c>
      <c r="B206">
        <v>0</v>
      </c>
      <c r="C206">
        <v>0</v>
      </c>
      <c r="D206">
        <v>0</v>
      </c>
      <c r="E206">
        <v>0</v>
      </c>
      <c r="F206">
        <v>356</v>
      </c>
      <c r="G206">
        <v>41</v>
      </c>
      <c r="H206">
        <v>153</v>
      </c>
    </row>
    <row r="207" spans="1:8" x14ac:dyDescent="0.25">
      <c r="A207" t="s">
        <v>307</v>
      </c>
      <c r="B207">
        <v>0</v>
      </c>
      <c r="C207">
        <v>0</v>
      </c>
      <c r="D207">
        <v>0</v>
      </c>
      <c r="E207">
        <v>0</v>
      </c>
      <c r="F207">
        <v>384</v>
      </c>
      <c r="G207">
        <v>69</v>
      </c>
      <c r="H207">
        <v>813</v>
      </c>
    </row>
    <row r="208" spans="1:8" x14ac:dyDescent="0.25">
      <c r="A208" t="s">
        <v>308</v>
      </c>
      <c r="B208">
        <v>0</v>
      </c>
      <c r="C208">
        <v>0</v>
      </c>
      <c r="D208">
        <v>0</v>
      </c>
      <c r="E208">
        <v>0</v>
      </c>
      <c r="F208">
        <v>1771</v>
      </c>
      <c r="G208">
        <v>436</v>
      </c>
      <c r="H208">
        <v>20663</v>
      </c>
    </row>
    <row r="209" spans="1:8" x14ac:dyDescent="0.25">
      <c r="A209" t="s">
        <v>309</v>
      </c>
      <c r="B209">
        <v>0</v>
      </c>
      <c r="C209">
        <v>0</v>
      </c>
      <c r="D209">
        <v>0</v>
      </c>
      <c r="E209">
        <v>0</v>
      </c>
      <c r="F209">
        <v>295</v>
      </c>
      <c r="G209">
        <v>106</v>
      </c>
      <c r="H209">
        <v>605</v>
      </c>
    </row>
    <row r="210" spans="1:8" x14ac:dyDescent="0.25">
      <c r="A210" t="s">
        <v>310</v>
      </c>
      <c r="B210">
        <v>0</v>
      </c>
      <c r="C210">
        <v>0</v>
      </c>
      <c r="D210">
        <v>0</v>
      </c>
      <c r="E210">
        <v>0</v>
      </c>
      <c r="F210">
        <v>279</v>
      </c>
      <c r="G210">
        <v>66</v>
      </c>
      <c r="H210">
        <v>1237</v>
      </c>
    </row>
    <row r="211" spans="1:8" x14ac:dyDescent="0.25">
      <c r="A211" t="s">
        <v>311</v>
      </c>
      <c r="B211">
        <v>0</v>
      </c>
      <c r="C211">
        <v>0</v>
      </c>
      <c r="D211">
        <v>0</v>
      </c>
      <c r="E211">
        <v>0</v>
      </c>
      <c r="F211">
        <v>224</v>
      </c>
      <c r="G211">
        <v>54</v>
      </c>
      <c r="H211">
        <v>247</v>
      </c>
    </row>
    <row r="212" spans="1:8" x14ac:dyDescent="0.25">
      <c r="A212" t="s">
        <v>312</v>
      </c>
      <c r="B212">
        <v>0</v>
      </c>
      <c r="C212">
        <v>0</v>
      </c>
      <c r="D212">
        <v>0</v>
      </c>
      <c r="E212">
        <v>0</v>
      </c>
      <c r="F212">
        <v>270</v>
      </c>
      <c r="G212">
        <v>68</v>
      </c>
      <c r="H212">
        <v>4754</v>
      </c>
    </row>
    <row r="213" spans="1:8" x14ac:dyDescent="0.25">
      <c r="A213" t="s">
        <v>313</v>
      </c>
      <c r="B213">
        <v>0</v>
      </c>
      <c r="C213">
        <v>0</v>
      </c>
      <c r="D213">
        <v>0</v>
      </c>
      <c r="E213">
        <v>0</v>
      </c>
      <c r="F213">
        <v>1204</v>
      </c>
      <c r="G213">
        <v>313</v>
      </c>
      <c r="H213">
        <v>1174</v>
      </c>
    </row>
    <row r="214" spans="1:8" x14ac:dyDescent="0.25">
      <c r="A214" t="s">
        <v>314</v>
      </c>
      <c r="B214">
        <v>0</v>
      </c>
      <c r="C214">
        <v>0</v>
      </c>
      <c r="D214">
        <v>0</v>
      </c>
      <c r="E214">
        <v>0</v>
      </c>
      <c r="F214">
        <v>666</v>
      </c>
      <c r="G214">
        <v>300</v>
      </c>
      <c r="H214">
        <v>1564</v>
      </c>
    </row>
    <row r="215" spans="1:8" x14ac:dyDescent="0.25">
      <c r="A215" t="s">
        <v>315</v>
      </c>
      <c r="B215">
        <v>0</v>
      </c>
      <c r="C215">
        <v>0</v>
      </c>
      <c r="D215">
        <v>0</v>
      </c>
      <c r="E215">
        <v>0</v>
      </c>
      <c r="F215">
        <v>138</v>
      </c>
      <c r="G215">
        <v>45</v>
      </c>
      <c r="H215">
        <v>934</v>
      </c>
    </row>
    <row r="216" spans="1:8" x14ac:dyDescent="0.25">
      <c r="A216" t="s">
        <v>316</v>
      </c>
      <c r="B216">
        <v>0</v>
      </c>
      <c r="C216">
        <v>0</v>
      </c>
      <c r="D216">
        <v>0</v>
      </c>
      <c r="E216">
        <v>0</v>
      </c>
      <c r="F216">
        <v>1024</v>
      </c>
      <c r="G216">
        <v>91</v>
      </c>
      <c r="H216">
        <v>1634</v>
      </c>
    </row>
    <row r="217" spans="1:8" x14ac:dyDescent="0.25">
      <c r="A217" t="s">
        <v>317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23</v>
      </c>
    </row>
    <row r="218" spans="1:8" x14ac:dyDescent="0.25">
      <c r="A218" t="s">
        <v>318</v>
      </c>
      <c r="B218">
        <v>0</v>
      </c>
      <c r="C218">
        <v>0</v>
      </c>
      <c r="D218">
        <v>0</v>
      </c>
      <c r="E218">
        <v>0</v>
      </c>
      <c r="F218">
        <v>434</v>
      </c>
      <c r="G218">
        <v>58</v>
      </c>
      <c r="H218">
        <v>598</v>
      </c>
    </row>
    <row r="219" spans="1:8" x14ac:dyDescent="0.25">
      <c r="A219" t="s">
        <v>319</v>
      </c>
      <c r="B219">
        <v>0</v>
      </c>
      <c r="C219">
        <v>0</v>
      </c>
      <c r="D219">
        <v>0</v>
      </c>
      <c r="E219">
        <v>0</v>
      </c>
      <c r="F219">
        <v>33</v>
      </c>
      <c r="G219">
        <v>10</v>
      </c>
      <c r="H219">
        <v>129</v>
      </c>
    </row>
    <row r="220" spans="1:8" x14ac:dyDescent="0.25">
      <c r="A220" t="s">
        <v>320</v>
      </c>
      <c r="B220">
        <v>0</v>
      </c>
      <c r="C220">
        <v>0</v>
      </c>
      <c r="D220">
        <v>0</v>
      </c>
      <c r="E220">
        <v>0</v>
      </c>
      <c r="F220">
        <v>2675</v>
      </c>
      <c r="G220">
        <v>317</v>
      </c>
      <c r="H220">
        <v>1019</v>
      </c>
    </row>
    <row r="221" spans="1:8" x14ac:dyDescent="0.25">
      <c r="A221" t="s">
        <v>321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 t="s">
        <v>322</v>
      </c>
      <c r="B222">
        <v>0</v>
      </c>
      <c r="C222">
        <v>0</v>
      </c>
      <c r="D222">
        <v>0</v>
      </c>
      <c r="E222">
        <v>0</v>
      </c>
      <c r="F222">
        <v>3281</v>
      </c>
      <c r="G222">
        <v>656</v>
      </c>
      <c r="H222">
        <v>3428</v>
      </c>
    </row>
    <row r="223" spans="1:8" x14ac:dyDescent="0.25">
      <c r="A223" t="s">
        <v>323</v>
      </c>
      <c r="B223">
        <v>0</v>
      </c>
      <c r="C223">
        <v>0</v>
      </c>
      <c r="D223">
        <v>0</v>
      </c>
      <c r="E223">
        <v>0</v>
      </c>
      <c r="F223">
        <v>786</v>
      </c>
      <c r="G223">
        <v>175</v>
      </c>
      <c r="H223">
        <v>1661</v>
      </c>
    </row>
    <row r="224" spans="1:8" x14ac:dyDescent="0.25">
      <c r="A224" t="s">
        <v>324</v>
      </c>
      <c r="B224">
        <v>0</v>
      </c>
      <c r="C224">
        <v>0</v>
      </c>
      <c r="D224">
        <v>0</v>
      </c>
      <c r="E224">
        <v>0</v>
      </c>
      <c r="F224">
        <v>306</v>
      </c>
      <c r="G224">
        <v>78</v>
      </c>
      <c r="H224">
        <v>1438</v>
      </c>
    </row>
    <row r="225" spans="1:8" x14ac:dyDescent="0.25">
      <c r="A225" t="s">
        <v>325</v>
      </c>
      <c r="B225">
        <v>0</v>
      </c>
      <c r="C225">
        <v>0</v>
      </c>
      <c r="D225">
        <v>0</v>
      </c>
      <c r="E225">
        <v>0</v>
      </c>
      <c r="F225">
        <v>6</v>
      </c>
      <c r="G225">
        <v>2</v>
      </c>
      <c r="H225">
        <v>1297</v>
      </c>
    </row>
    <row r="226" spans="1:8" x14ac:dyDescent="0.25">
      <c r="A226" t="s">
        <v>326</v>
      </c>
      <c r="B226">
        <v>0</v>
      </c>
      <c r="C226">
        <v>0</v>
      </c>
      <c r="D226">
        <v>0</v>
      </c>
      <c r="E226">
        <v>0</v>
      </c>
      <c r="F226">
        <v>1890</v>
      </c>
      <c r="G226">
        <v>247</v>
      </c>
      <c r="H226">
        <v>1860</v>
      </c>
    </row>
    <row r="227" spans="1:8" x14ac:dyDescent="0.25">
      <c r="A227" t="s">
        <v>327</v>
      </c>
      <c r="B227">
        <v>0</v>
      </c>
      <c r="C227">
        <v>0</v>
      </c>
      <c r="D227">
        <v>0</v>
      </c>
      <c r="E227">
        <v>0</v>
      </c>
      <c r="F227">
        <v>1572</v>
      </c>
      <c r="G227">
        <v>238</v>
      </c>
      <c r="H227">
        <v>3408</v>
      </c>
    </row>
    <row r="228" spans="1:8" x14ac:dyDescent="0.25">
      <c r="A228" t="s">
        <v>328</v>
      </c>
      <c r="B228">
        <v>0</v>
      </c>
      <c r="C228">
        <v>0</v>
      </c>
      <c r="D228">
        <v>0</v>
      </c>
      <c r="E228">
        <v>0</v>
      </c>
      <c r="F228">
        <v>2</v>
      </c>
      <c r="G228">
        <v>2</v>
      </c>
      <c r="H228">
        <v>32</v>
      </c>
    </row>
    <row r="229" spans="1:8" x14ac:dyDescent="0.25">
      <c r="A229" t="s">
        <v>329</v>
      </c>
      <c r="B229">
        <v>0</v>
      </c>
      <c r="C229">
        <v>0</v>
      </c>
      <c r="D229">
        <v>0</v>
      </c>
      <c r="E229">
        <v>0</v>
      </c>
      <c r="F229">
        <v>429</v>
      </c>
      <c r="G229">
        <v>93</v>
      </c>
      <c r="H229">
        <v>291</v>
      </c>
    </row>
    <row r="230" spans="1:8" x14ac:dyDescent="0.25">
      <c r="A230" t="s">
        <v>330</v>
      </c>
      <c r="B230">
        <v>0</v>
      </c>
      <c r="C230">
        <v>0</v>
      </c>
      <c r="D230">
        <v>0</v>
      </c>
      <c r="E230">
        <v>0</v>
      </c>
      <c r="F230">
        <v>374</v>
      </c>
      <c r="G230">
        <v>96</v>
      </c>
      <c r="H230">
        <v>897</v>
      </c>
    </row>
    <row r="231" spans="1:8" x14ac:dyDescent="0.25">
      <c r="A231" t="s">
        <v>331</v>
      </c>
      <c r="B231">
        <v>0</v>
      </c>
      <c r="C231">
        <v>0</v>
      </c>
      <c r="D231">
        <v>0</v>
      </c>
      <c r="E231">
        <v>0</v>
      </c>
      <c r="F231">
        <v>4358</v>
      </c>
      <c r="G231">
        <v>606</v>
      </c>
      <c r="H231">
        <v>2746</v>
      </c>
    </row>
    <row r="232" spans="1:8" x14ac:dyDescent="0.25">
      <c r="A232" t="s">
        <v>332</v>
      </c>
      <c r="B232">
        <v>0</v>
      </c>
      <c r="C232">
        <v>0</v>
      </c>
      <c r="D232">
        <v>0</v>
      </c>
      <c r="E232">
        <v>0</v>
      </c>
      <c r="F232">
        <v>283</v>
      </c>
      <c r="G232">
        <v>55</v>
      </c>
      <c r="H232">
        <v>725</v>
      </c>
    </row>
    <row r="233" spans="1:8" x14ac:dyDescent="0.25">
      <c r="A233" t="s">
        <v>333</v>
      </c>
      <c r="B233">
        <v>0</v>
      </c>
      <c r="C233">
        <v>0</v>
      </c>
      <c r="D233">
        <v>0</v>
      </c>
      <c r="E233">
        <v>0</v>
      </c>
      <c r="F233">
        <v>350</v>
      </c>
      <c r="G233">
        <v>25</v>
      </c>
      <c r="H233">
        <v>142</v>
      </c>
    </row>
    <row r="234" spans="1:8" x14ac:dyDescent="0.25">
      <c r="A234" t="s">
        <v>334</v>
      </c>
      <c r="B234">
        <v>0</v>
      </c>
      <c r="C234">
        <v>0</v>
      </c>
      <c r="D234">
        <v>0</v>
      </c>
      <c r="E234">
        <v>0</v>
      </c>
      <c r="F234">
        <v>13</v>
      </c>
      <c r="G234">
        <v>5</v>
      </c>
      <c r="H234">
        <v>401</v>
      </c>
    </row>
    <row r="235" spans="1:8" x14ac:dyDescent="0.25">
      <c r="A235" t="s">
        <v>335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19</v>
      </c>
    </row>
    <row r="236" spans="1:8" x14ac:dyDescent="0.25">
      <c r="A236" t="s">
        <v>336</v>
      </c>
      <c r="B236">
        <v>0</v>
      </c>
      <c r="C236">
        <v>0</v>
      </c>
      <c r="D236">
        <v>0</v>
      </c>
      <c r="E236">
        <v>0</v>
      </c>
      <c r="F236">
        <v>64</v>
      </c>
      <c r="G236">
        <v>9</v>
      </c>
      <c r="H236">
        <v>756</v>
      </c>
    </row>
    <row r="237" spans="1:8" x14ac:dyDescent="0.25">
      <c r="A237" t="s">
        <v>337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104</v>
      </c>
    </row>
    <row r="238" spans="1:8" x14ac:dyDescent="0.25">
      <c r="A238" t="s">
        <v>338</v>
      </c>
      <c r="B238">
        <v>0</v>
      </c>
      <c r="C238">
        <v>0</v>
      </c>
      <c r="D238">
        <v>0</v>
      </c>
      <c r="E238">
        <v>0</v>
      </c>
      <c r="F238">
        <v>141</v>
      </c>
      <c r="G238">
        <v>43</v>
      </c>
      <c r="H238">
        <v>1372</v>
      </c>
    </row>
    <row r="239" spans="1:8" x14ac:dyDescent="0.25">
      <c r="A239" t="s">
        <v>339</v>
      </c>
      <c r="B239">
        <v>0</v>
      </c>
      <c r="C239">
        <v>0</v>
      </c>
      <c r="D239">
        <v>0</v>
      </c>
      <c r="E239">
        <v>0</v>
      </c>
      <c r="F239">
        <v>900</v>
      </c>
      <c r="G239">
        <v>49</v>
      </c>
      <c r="H239">
        <v>295</v>
      </c>
    </row>
    <row r="240" spans="1:8" x14ac:dyDescent="0.25">
      <c r="A240" t="s">
        <v>340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958</v>
      </c>
    </row>
    <row r="241" spans="1:8" x14ac:dyDescent="0.25">
      <c r="A241" t="s">
        <v>341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833</v>
      </c>
    </row>
    <row r="242" spans="1:8" x14ac:dyDescent="0.25">
      <c r="A242" t="s">
        <v>342</v>
      </c>
      <c r="B242">
        <v>0</v>
      </c>
      <c r="C242">
        <v>0</v>
      </c>
      <c r="D242">
        <v>0</v>
      </c>
      <c r="E242">
        <v>0</v>
      </c>
      <c r="F242">
        <v>2099</v>
      </c>
      <c r="G242">
        <v>599</v>
      </c>
      <c r="H242">
        <v>1287</v>
      </c>
    </row>
  </sheetData>
  <phoneticPr fontId="18" type="noConversion"/>
  <hyperlinks>
    <hyperlink ref="O30" r:id="rId1" xr:uid="{CED1794E-E62D-45A8-959E-9870D805C6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5F64-29D2-486D-809D-27EA4E73A73F}">
  <dimension ref="A1:P98"/>
  <sheetViews>
    <sheetView topLeftCell="A76" workbookViewId="0">
      <selection activeCell="P18" sqref="P18"/>
    </sheetView>
  </sheetViews>
  <sheetFormatPr defaultRowHeight="13.8" x14ac:dyDescent="0.25"/>
  <cols>
    <col min="1" max="1" width="24.6640625" bestFit="1" customWidth="1"/>
    <col min="2" max="2" width="18.5546875" bestFit="1" customWidth="1"/>
    <col min="3" max="3" width="9.21875" bestFit="1" customWidth="1"/>
    <col min="4" max="4" width="8.5546875" bestFit="1" customWidth="1"/>
    <col min="5" max="5" width="8.44140625" bestFit="1" customWidth="1"/>
    <col min="6" max="6" width="8.5546875" bestFit="1" customWidth="1"/>
    <col min="7" max="7" width="12.77734375" bestFit="1" customWidth="1"/>
    <col min="8" max="8" width="11.21875" bestFit="1" customWidth="1"/>
    <col min="12" max="12" width="9.109375" bestFit="1" customWidth="1"/>
    <col min="16" max="16" width="9.109375" bestFit="1" customWidth="1"/>
  </cols>
  <sheetData>
    <row r="1" spans="1:16" x14ac:dyDescent="0.25">
      <c r="A1" t="s">
        <v>0</v>
      </c>
      <c r="B1" t="s">
        <v>1</v>
      </c>
      <c r="C1" t="s">
        <v>366</v>
      </c>
      <c r="D1" t="s">
        <v>367</v>
      </c>
      <c r="E1" t="s">
        <v>2</v>
      </c>
      <c r="F1" t="s">
        <v>368</v>
      </c>
      <c r="G1" t="s">
        <v>380</v>
      </c>
      <c r="H1" t="s">
        <v>370</v>
      </c>
      <c r="L1" t="s">
        <v>1</v>
      </c>
      <c r="M1" t="s">
        <v>366</v>
      </c>
      <c r="N1" t="s">
        <v>367</v>
      </c>
      <c r="O1" t="s">
        <v>2</v>
      </c>
      <c r="P1" t="s">
        <v>368</v>
      </c>
    </row>
    <row r="2" spans="1:16" x14ac:dyDescent="0.25">
      <c r="A2" t="s">
        <v>4</v>
      </c>
      <c r="B2">
        <v>10120</v>
      </c>
      <c r="C2">
        <v>8641</v>
      </c>
      <c r="D2">
        <v>1019</v>
      </c>
      <c r="E2">
        <v>7655</v>
      </c>
      <c r="F2">
        <v>1330151</v>
      </c>
      <c r="G2">
        <v>15.213698630136987</v>
      </c>
      <c r="H2" t="s">
        <v>371</v>
      </c>
      <c r="K2" t="s">
        <v>382</v>
      </c>
      <c r="L2">
        <v>10</v>
      </c>
      <c r="M2">
        <v>37</v>
      </c>
      <c r="N2">
        <v>25</v>
      </c>
      <c r="O2">
        <v>0</v>
      </c>
      <c r="P2">
        <v>16509</v>
      </c>
    </row>
    <row r="3" spans="1:16" x14ac:dyDescent="0.25">
      <c r="A3" t="s">
        <v>6</v>
      </c>
      <c r="B3">
        <v>6750</v>
      </c>
      <c r="C3">
        <v>20968</v>
      </c>
      <c r="D3">
        <v>3076</v>
      </c>
      <c r="E3">
        <v>8580</v>
      </c>
      <c r="F3">
        <v>2004152</v>
      </c>
      <c r="G3">
        <v>10.493150684931507</v>
      </c>
      <c r="H3" t="s">
        <v>371</v>
      </c>
      <c r="K3" t="s">
        <v>383</v>
      </c>
      <c r="L3">
        <v>10120</v>
      </c>
      <c r="M3">
        <v>21589</v>
      </c>
      <c r="N3">
        <v>6570</v>
      </c>
      <c r="O3">
        <v>19154</v>
      </c>
      <c r="P3">
        <v>3262525</v>
      </c>
    </row>
    <row r="4" spans="1:16" x14ac:dyDescent="0.25">
      <c r="A4" t="s">
        <v>8</v>
      </c>
      <c r="B4">
        <v>4591</v>
      </c>
      <c r="C4">
        <v>21589</v>
      </c>
      <c r="D4">
        <v>3232</v>
      </c>
      <c r="E4">
        <v>12559</v>
      </c>
      <c r="F4">
        <v>2984573</v>
      </c>
      <c r="G4">
        <v>16.44109589041096</v>
      </c>
      <c r="H4" t="s">
        <v>371</v>
      </c>
      <c r="K4" t="s">
        <v>384</v>
      </c>
      <c r="L4">
        <v>593.59793814432987</v>
      </c>
      <c r="M4">
        <v>3761.3917525773195</v>
      </c>
      <c r="N4">
        <v>647.94845360824741</v>
      </c>
      <c r="O4">
        <v>3080.0721649484535</v>
      </c>
      <c r="P4">
        <v>563487.07216494845</v>
      </c>
    </row>
    <row r="5" spans="1:16" x14ac:dyDescent="0.25">
      <c r="A5" t="s">
        <v>10</v>
      </c>
      <c r="B5">
        <v>4137</v>
      </c>
      <c r="C5">
        <v>5036</v>
      </c>
      <c r="D5">
        <v>458</v>
      </c>
      <c r="E5">
        <v>1806</v>
      </c>
      <c r="F5">
        <v>465298</v>
      </c>
      <c r="G5">
        <v>11.183561643835617</v>
      </c>
      <c r="H5" t="s">
        <v>372</v>
      </c>
      <c r="K5" t="s">
        <v>385</v>
      </c>
      <c r="L5">
        <v>112</v>
      </c>
      <c r="M5">
        <v>1759</v>
      </c>
      <c r="N5">
        <v>246</v>
      </c>
      <c r="O5">
        <v>1860</v>
      </c>
      <c r="P5">
        <v>327737</v>
      </c>
    </row>
    <row r="6" spans="1:16" x14ac:dyDescent="0.25">
      <c r="A6" t="s">
        <v>12</v>
      </c>
      <c r="B6">
        <v>2415</v>
      </c>
      <c r="C6">
        <v>9215</v>
      </c>
      <c r="D6">
        <v>1429</v>
      </c>
      <c r="E6">
        <v>8128</v>
      </c>
      <c r="F6">
        <v>1217995</v>
      </c>
      <c r="G6">
        <v>10.646575342465754</v>
      </c>
      <c r="H6" t="s">
        <v>371</v>
      </c>
    </row>
    <row r="7" spans="1:16" x14ac:dyDescent="0.25">
      <c r="A7" t="s">
        <v>14</v>
      </c>
      <c r="B7">
        <v>2141</v>
      </c>
      <c r="C7">
        <v>8041</v>
      </c>
      <c r="D7">
        <v>1320</v>
      </c>
      <c r="E7">
        <v>4436</v>
      </c>
      <c r="F7">
        <v>927601</v>
      </c>
      <c r="G7">
        <v>9.1342465753424662</v>
      </c>
      <c r="H7" t="s">
        <v>371</v>
      </c>
    </row>
    <row r="8" spans="1:16" x14ac:dyDescent="0.25">
      <c r="A8" t="s">
        <v>16</v>
      </c>
      <c r="B8">
        <v>1859</v>
      </c>
      <c r="C8">
        <v>13106</v>
      </c>
      <c r="D8">
        <v>1894</v>
      </c>
      <c r="E8">
        <v>6644</v>
      </c>
      <c r="F8">
        <v>1294357</v>
      </c>
      <c r="G8">
        <v>10.871232876712329</v>
      </c>
      <c r="H8" t="s">
        <v>371</v>
      </c>
    </row>
    <row r="9" spans="1:16" x14ac:dyDescent="0.25">
      <c r="A9" t="s">
        <v>18</v>
      </c>
      <c r="B9">
        <v>1430</v>
      </c>
      <c r="C9">
        <v>5519</v>
      </c>
      <c r="D9">
        <v>1005</v>
      </c>
      <c r="E9">
        <v>4213</v>
      </c>
      <c r="F9">
        <v>809957</v>
      </c>
      <c r="G9">
        <v>7.6164383561643838</v>
      </c>
      <c r="H9" t="s">
        <v>371</v>
      </c>
      <c r="M9" t="s">
        <v>382</v>
      </c>
      <c r="N9" t="s">
        <v>383</v>
      </c>
      <c r="O9" t="s">
        <v>384</v>
      </c>
      <c r="P9" t="s">
        <v>385</v>
      </c>
    </row>
    <row r="10" spans="1:16" x14ac:dyDescent="0.25">
      <c r="A10" t="s">
        <v>20</v>
      </c>
      <c r="B10">
        <v>1419</v>
      </c>
      <c r="C10">
        <v>2410</v>
      </c>
      <c r="D10">
        <v>444</v>
      </c>
      <c r="E10">
        <v>5490</v>
      </c>
      <c r="F10">
        <v>727327</v>
      </c>
      <c r="G10">
        <v>13.517808219178082</v>
      </c>
      <c r="H10" t="s">
        <v>371</v>
      </c>
      <c r="L10" t="s">
        <v>1</v>
      </c>
      <c r="M10">
        <v>10</v>
      </c>
      <c r="N10">
        <v>10120</v>
      </c>
      <c r="O10">
        <v>593.59793814432987</v>
      </c>
      <c r="P10">
        <v>112</v>
      </c>
    </row>
    <row r="11" spans="1:16" x14ac:dyDescent="0.25">
      <c r="A11" t="s">
        <v>22</v>
      </c>
      <c r="B11">
        <v>1370</v>
      </c>
      <c r="C11">
        <v>6620</v>
      </c>
      <c r="D11">
        <v>1194</v>
      </c>
      <c r="E11">
        <v>4997</v>
      </c>
      <c r="F11">
        <v>977070</v>
      </c>
      <c r="G11">
        <v>10.986301369863014</v>
      </c>
      <c r="H11" t="s">
        <v>371</v>
      </c>
      <c r="L11" t="s">
        <v>366</v>
      </c>
      <c r="M11">
        <v>37</v>
      </c>
      <c r="N11">
        <v>21589</v>
      </c>
      <c r="O11">
        <v>3761.3917525773195</v>
      </c>
      <c r="P11">
        <v>1759</v>
      </c>
    </row>
    <row r="12" spans="1:16" x14ac:dyDescent="0.25">
      <c r="A12" t="s">
        <v>24</v>
      </c>
      <c r="B12">
        <v>1315</v>
      </c>
      <c r="C12">
        <v>5110</v>
      </c>
      <c r="D12">
        <v>673</v>
      </c>
      <c r="E12">
        <v>3071</v>
      </c>
      <c r="F12">
        <v>536163</v>
      </c>
      <c r="G12">
        <v>19.073972602739726</v>
      </c>
      <c r="H12" t="s">
        <v>371</v>
      </c>
      <c r="L12" t="s">
        <v>367</v>
      </c>
      <c r="M12">
        <v>25</v>
      </c>
      <c r="N12">
        <v>6570</v>
      </c>
      <c r="O12">
        <v>647.94845360824741</v>
      </c>
      <c r="P12">
        <v>246</v>
      </c>
    </row>
    <row r="13" spans="1:16" x14ac:dyDescent="0.25">
      <c r="A13" t="s">
        <v>26</v>
      </c>
      <c r="B13">
        <v>1293</v>
      </c>
      <c r="C13">
        <v>5378</v>
      </c>
      <c r="D13">
        <v>858</v>
      </c>
      <c r="E13">
        <v>3496</v>
      </c>
      <c r="F13">
        <v>551112</v>
      </c>
      <c r="G13">
        <v>3.2246575342465755</v>
      </c>
      <c r="H13" t="s">
        <v>371</v>
      </c>
      <c r="L13" t="s">
        <v>2</v>
      </c>
      <c r="M13">
        <v>0</v>
      </c>
      <c r="N13">
        <v>19154</v>
      </c>
      <c r="O13">
        <v>3080.0721649484535</v>
      </c>
      <c r="P13">
        <v>1860</v>
      </c>
    </row>
    <row r="14" spans="1:16" x14ac:dyDescent="0.25">
      <c r="A14" t="s">
        <v>28</v>
      </c>
      <c r="B14">
        <v>1265</v>
      </c>
      <c r="C14">
        <v>8082</v>
      </c>
      <c r="D14">
        <v>1260</v>
      </c>
      <c r="E14">
        <v>7561</v>
      </c>
      <c r="F14">
        <v>1044871</v>
      </c>
      <c r="G14">
        <v>17.512328767123286</v>
      </c>
      <c r="H14" t="s">
        <v>371</v>
      </c>
      <c r="L14" t="s">
        <v>387</v>
      </c>
      <c r="M14" s="14">
        <f>MIN(G:G)</f>
        <v>3.2246575342465755</v>
      </c>
      <c r="N14" s="14">
        <f>MAX(G:G)</f>
        <v>26.030136986301368</v>
      </c>
      <c r="O14" s="14">
        <f>AVERAGE(G:G)</f>
        <v>14.381132608388647</v>
      </c>
      <c r="P14" s="14">
        <f>MEDIAN(G:G)</f>
        <v>14.416438356164383</v>
      </c>
    </row>
    <row r="15" spans="1:16" x14ac:dyDescent="0.25">
      <c r="A15" t="s">
        <v>30</v>
      </c>
      <c r="B15">
        <v>1135</v>
      </c>
      <c r="C15">
        <v>3101</v>
      </c>
      <c r="D15">
        <v>712</v>
      </c>
      <c r="E15">
        <v>4263</v>
      </c>
      <c r="F15">
        <v>1017928</v>
      </c>
      <c r="G15">
        <v>6.087671232876712</v>
      </c>
      <c r="H15" t="s">
        <v>371</v>
      </c>
    </row>
    <row r="16" spans="1:16" x14ac:dyDescent="0.25">
      <c r="A16" t="s">
        <v>32</v>
      </c>
      <c r="B16">
        <v>1045</v>
      </c>
      <c r="C16">
        <v>1498</v>
      </c>
      <c r="D16">
        <v>212</v>
      </c>
      <c r="E16">
        <v>1193</v>
      </c>
      <c r="F16">
        <v>278554</v>
      </c>
      <c r="G16">
        <v>12.597260273972603</v>
      </c>
      <c r="H16" t="s">
        <v>372</v>
      </c>
    </row>
    <row r="17" spans="1:8" x14ac:dyDescent="0.25">
      <c r="A17" t="s">
        <v>34</v>
      </c>
      <c r="B17">
        <v>913</v>
      </c>
      <c r="C17">
        <v>10201</v>
      </c>
      <c r="D17">
        <v>1391</v>
      </c>
      <c r="E17">
        <v>8314</v>
      </c>
      <c r="F17">
        <v>2306971</v>
      </c>
      <c r="G17">
        <v>17.153424657534245</v>
      </c>
      <c r="H17" t="s">
        <v>371</v>
      </c>
    </row>
    <row r="18" spans="1:8" x14ac:dyDescent="0.25">
      <c r="A18" t="s">
        <v>36</v>
      </c>
      <c r="B18">
        <v>878</v>
      </c>
      <c r="C18">
        <v>7543</v>
      </c>
      <c r="D18">
        <v>1809</v>
      </c>
      <c r="E18">
        <v>5173</v>
      </c>
      <c r="F18">
        <v>1287803</v>
      </c>
      <c r="G18">
        <v>18.56986301369863</v>
      </c>
      <c r="H18" t="s">
        <v>371</v>
      </c>
    </row>
    <row r="19" spans="1:8" x14ac:dyDescent="0.25">
      <c r="A19" t="s">
        <v>38</v>
      </c>
      <c r="B19">
        <v>837</v>
      </c>
      <c r="C19">
        <v>15691</v>
      </c>
      <c r="D19">
        <v>6570</v>
      </c>
      <c r="E19">
        <v>19154</v>
      </c>
      <c r="F19">
        <v>3262525</v>
      </c>
      <c r="G19">
        <v>18.613698630136987</v>
      </c>
      <c r="H19" t="s">
        <v>371</v>
      </c>
    </row>
    <row r="20" spans="1:8" x14ac:dyDescent="0.25">
      <c r="A20" t="s">
        <v>40</v>
      </c>
      <c r="B20">
        <v>784</v>
      </c>
      <c r="C20">
        <v>14311</v>
      </c>
      <c r="D20">
        <v>1576</v>
      </c>
      <c r="E20">
        <v>6053</v>
      </c>
      <c r="F20">
        <v>757002</v>
      </c>
      <c r="G20">
        <v>19.109589041095891</v>
      </c>
      <c r="H20" t="s">
        <v>371</v>
      </c>
    </row>
    <row r="21" spans="1:8" x14ac:dyDescent="0.25">
      <c r="A21" t="s">
        <v>42</v>
      </c>
      <c r="B21">
        <v>761</v>
      </c>
      <c r="C21">
        <v>2525</v>
      </c>
      <c r="D21">
        <v>733</v>
      </c>
      <c r="E21">
        <v>3612</v>
      </c>
      <c r="F21">
        <v>466586</v>
      </c>
      <c r="G21">
        <v>11.682191780821919</v>
      </c>
      <c r="H21" t="s">
        <v>372</v>
      </c>
    </row>
    <row r="22" spans="1:8" x14ac:dyDescent="0.25">
      <c r="A22" t="s">
        <v>44</v>
      </c>
      <c r="B22">
        <v>741</v>
      </c>
      <c r="C22">
        <v>5176</v>
      </c>
      <c r="D22">
        <v>794</v>
      </c>
      <c r="E22">
        <v>3336</v>
      </c>
      <c r="F22">
        <v>691579</v>
      </c>
      <c r="G22">
        <v>14.049315068493151</v>
      </c>
      <c r="H22" t="s">
        <v>371</v>
      </c>
    </row>
    <row r="23" spans="1:8" x14ac:dyDescent="0.25">
      <c r="A23" t="s">
        <v>46</v>
      </c>
      <c r="B23">
        <v>696</v>
      </c>
      <c r="C23">
        <v>4245</v>
      </c>
      <c r="D23">
        <v>763</v>
      </c>
      <c r="E23">
        <v>3576</v>
      </c>
      <c r="F23">
        <v>634403</v>
      </c>
      <c r="G23">
        <v>8.8575342465753426</v>
      </c>
      <c r="H23" t="s">
        <v>371</v>
      </c>
    </row>
    <row r="24" spans="1:8" x14ac:dyDescent="0.25">
      <c r="A24" t="s">
        <v>48</v>
      </c>
      <c r="B24">
        <v>630</v>
      </c>
      <c r="C24">
        <v>18502</v>
      </c>
      <c r="D24">
        <v>2491</v>
      </c>
      <c r="E24">
        <v>8932</v>
      </c>
      <c r="F24">
        <v>1754806</v>
      </c>
      <c r="G24">
        <v>13.010958904109589</v>
      </c>
      <c r="H24" t="s">
        <v>371</v>
      </c>
    </row>
    <row r="25" spans="1:8" x14ac:dyDescent="0.25">
      <c r="A25" t="s">
        <v>50</v>
      </c>
      <c r="B25">
        <v>579</v>
      </c>
      <c r="C25">
        <v>15658</v>
      </c>
      <c r="D25">
        <v>2736</v>
      </c>
      <c r="E25">
        <v>14144</v>
      </c>
      <c r="F25">
        <v>2461128</v>
      </c>
      <c r="G25">
        <v>14.868493150684932</v>
      </c>
      <c r="H25" t="s">
        <v>371</v>
      </c>
    </row>
    <row r="26" spans="1:8" x14ac:dyDescent="0.25">
      <c r="A26" t="s">
        <v>52</v>
      </c>
      <c r="B26">
        <v>536</v>
      </c>
      <c r="C26">
        <v>3332</v>
      </c>
      <c r="D26">
        <v>568</v>
      </c>
      <c r="E26">
        <v>2368</v>
      </c>
      <c r="F26">
        <v>424137</v>
      </c>
      <c r="G26">
        <v>14.578082191780823</v>
      </c>
      <c r="H26" t="s">
        <v>372</v>
      </c>
    </row>
    <row r="27" spans="1:8" x14ac:dyDescent="0.25">
      <c r="A27" t="s">
        <v>54</v>
      </c>
      <c r="B27">
        <v>478</v>
      </c>
      <c r="C27">
        <v>2981</v>
      </c>
      <c r="D27">
        <v>275</v>
      </c>
      <c r="E27">
        <v>1860</v>
      </c>
      <c r="F27">
        <v>282861</v>
      </c>
      <c r="G27">
        <v>11.583561643835617</v>
      </c>
      <c r="H27" t="s">
        <v>372</v>
      </c>
    </row>
    <row r="28" spans="1:8" x14ac:dyDescent="0.25">
      <c r="A28" t="s">
        <v>56</v>
      </c>
      <c r="B28">
        <v>473</v>
      </c>
      <c r="C28">
        <v>6317</v>
      </c>
      <c r="D28">
        <v>901</v>
      </c>
      <c r="E28">
        <v>4772</v>
      </c>
      <c r="F28">
        <v>1047642</v>
      </c>
      <c r="G28">
        <v>7.8684931506849312</v>
      </c>
      <c r="H28" t="s">
        <v>371</v>
      </c>
    </row>
    <row r="29" spans="1:8" x14ac:dyDescent="0.25">
      <c r="A29" t="s">
        <v>58</v>
      </c>
      <c r="B29">
        <v>354</v>
      </c>
      <c r="C29">
        <v>7397</v>
      </c>
      <c r="D29">
        <v>1239</v>
      </c>
      <c r="E29">
        <v>6976</v>
      </c>
      <c r="F29">
        <v>1461634</v>
      </c>
      <c r="G29">
        <v>8.4712328767123282</v>
      </c>
      <c r="H29" t="s">
        <v>371</v>
      </c>
    </row>
    <row r="30" spans="1:8" x14ac:dyDescent="0.25">
      <c r="A30" t="s">
        <v>60</v>
      </c>
      <c r="B30">
        <v>311</v>
      </c>
      <c r="C30">
        <v>1006</v>
      </c>
      <c r="D30">
        <v>286</v>
      </c>
      <c r="E30">
        <v>2086</v>
      </c>
      <c r="F30">
        <v>382850</v>
      </c>
      <c r="G30">
        <v>26.030136986301368</v>
      </c>
      <c r="H30" t="s">
        <v>372</v>
      </c>
    </row>
    <row r="31" spans="1:8" x14ac:dyDescent="0.25">
      <c r="A31" t="s">
        <v>61</v>
      </c>
      <c r="B31">
        <v>309</v>
      </c>
      <c r="C31">
        <v>1179</v>
      </c>
      <c r="D31">
        <v>242</v>
      </c>
      <c r="E31">
        <v>2014</v>
      </c>
      <c r="F31">
        <v>397146</v>
      </c>
      <c r="G31">
        <v>14.09041095890411</v>
      </c>
      <c r="H31" t="s">
        <v>372</v>
      </c>
    </row>
    <row r="32" spans="1:8" x14ac:dyDescent="0.25">
      <c r="A32" t="s">
        <v>63</v>
      </c>
      <c r="B32">
        <v>308</v>
      </c>
      <c r="C32">
        <v>4979</v>
      </c>
      <c r="D32">
        <v>1028</v>
      </c>
      <c r="E32">
        <v>4283</v>
      </c>
      <c r="F32">
        <v>970303</v>
      </c>
      <c r="G32">
        <v>24.13150684931507</v>
      </c>
      <c r="H32" t="s">
        <v>371</v>
      </c>
    </row>
    <row r="33" spans="1:8" x14ac:dyDescent="0.25">
      <c r="A33" t="s">
        <v>65</v>
      </c>
      <c r="B33">
        <v>286</v>
      </c>
      <c r="C33">
        <v>1993</v>
      </c>
      <c r="D33">
        <v>266</v>
      </c>
      <c r="E33">
        <v>2418</v>
      </c>
      <c r="F33">
        <v>610364</v>
      </c>
      <c r="G33">
        <v>11.739726027397261</v>
      </c>
      <c r="H33" t="s">
        <v>371</v>
      </c>
    </row>
    <row r="34" spans="1:8" x14ac:dyDescent="0.25">
      <c r="A34" t="s">
        <v>67</v>
      </c>
      <c r="B34">
        <v>267</v>
      </c>
      <c r="C34">
        <v>2662</v>
      </c>
      <c r="D34">
        <v>170</v>
      </c>
      <c r="E34">
        <v>474</v>
      </c>
      <c r="F34">
        <v>107223</v>
      </c>
      <c r="G34">
        <v>21.841095890410958</v>
      </c>
      <c r="H34" t="s">
        <v>372</v>
      </c>
    </row>
    <row r="35" spans="1:8" x14ac:dyDescent="0.25">
      <c r="A35" t="s">
        <v>69</v>
      </c>
      <c r="B35">
        <v>263</v>
      </c>
      <c r="C35">
        <v>1285</v>
      </c>
      <c r="D35">
        <v>246</v>
      </c>
      <c r="E35">
        <v>1795</v>
      </c>
      <c r="F35">
        <v>229813</v>
      </c>
      <c r="G35">
        <v>16.073972602739726</v>
      </c>
      <c r="H35" t="s">
        <v>372</v>
      </c>
    </row>
    <row r="36" spans="1:8" x14ac:dyDescent="0.25">
      <c r="A36" t="s">
        <v>71</v>
      </c>
      <c r="B36">
        <v>263</v>
      </c>
      <c r="C36">
        <v>1801</v>
      </c>
      <c r="D36">
        <v>229</v>
      </c>
      <c r="E36">
        <v>913</v>
      </c>
      <c r="F36">
        <v>152116</v>
      </c>
      <c r="G36">
        <v>19.849315068493151</v>
      </c>
      <c r="H36" t="s">
        <v>372</v>
      </c>
    </row>
    <row r="37" spans="1:8" x14ac:dyDescent="0.25">
      <c r="A37" t="s">
        <v>73</v>
      </c>
      <c r="B37">
        <v>234</v>
      </c>
      <c r="C37">
        <v>10147</v>
      </c>
      <c r="D37">
        <v>1835</v>
      </c>
      <c r="E37">
        <v>5930</v>
      </c>
      <c r="F37">
        <v>1301995</v>
      </c>
      <c r="G37">
        <v>16.556164383561644</v>
      </c>
      <c r="H37" t="s">
        <v>371</v>
      </c>
    </row>
    <row r="38" spans="1:8" x14ac:dyDescent="0.25">
      <c r="A38" t="s">
        <v>75</v>
      </c>
      <c r="B38">
        <v>228</v>
      </c>
      <c r="C38">
        <v>1853</v>
      </c>
      <c r="D38">
        <v>518</v>
      </c>
      <c r="E38">
        <v>1536</v>
      </c>
      <c r="F38">
        <v>297117</v>
      </c>
      <c r="G38">
        <v>14.312328767123288</v>
      </c>
      <c r="H38" t="s">
        <v>372</v>
      </c>
    </row>
    <row r="39" spans="1:8" x14ac:dyDescent="0.25">
      <c r="A39" t="s">
        <v>77</v>
      </c>
      <c r="B39">
        <v>202</v>
      </c>
      <c r="C39">
        <v>4108</v>
      </c>
      <c r="D39">
        <v>726</v>
      </c>
      <c r="E39">
        <v>3898</v>
      </c>
      <c r="F39">
        <v>467166</v>
      </c>
      <c r="G39">
        <v>18.769863013698629</v>
      </c>
      <c r="H39" t="s">
        <v>372</v>
      </c>
    </row>
    <row r="40" spans="1:8" x14ac:dyDescent="0.25">
      <c r="A40" t="s">
        <v>79</v>
      </c>
      <c r="B40">
        <v>194</v>
      </c>
      <c r="C40">
        <v>1594</v>
      </c>
      <c r="D40">
        <v>194</v>
      </c>
      <c r="E40">
        <v>1012</v>
      </c>
      <c r="F40">
        <v>153261</v>
      </c>
      <c r="G40">
        <v>20.712328767123289</v>
      </c>
      <c r="H40" t="s">
        <v>372</v>
      </c>
    </row>
    <row r="41" spans="1:8" x14ac:dyDescent="0.25">
      <c r="A41" t="s">
        <v>81</v>
      </c>
      <c r="B41">
        <v>168</v>
      </c>
      <c r="C41">
        <v>1100</v>
      </c>
      <c r="D41">
        <v>208</v>
      </c>
      <c r="E41">
        <v>1394</v>
      </c>
      <c r="F41">
        <v>283344</v>
      </c>
      <c r="G41">
        <v>13.454794520547946</v>
      </c>
      <c r="H41" t="s">
        <v>372</v>
      </c>
    </row>
    <row r="42" spans="1:8" x14ac:dyDescent="0.25">
      <c r="A42" t="s">
        <v>83</v>
      </c>
      <c r="B42">
        <v>168</v>
      </c>
      <c r="C42">
        <v>584</v>
      </c>
      <c r="D42">
        <v>217</v>
      </c>
      <c r="E42">
        <v>2148</v>
      </c>
      <c r="F42">
        <v>199342</v>
      </c>
      <c r="G42">
        <v>9.9698630136986299</v>
      </c>
      <c r="H42" t="s">
        <v>372</v>
      </c>
    </row>
    <row r="43" spans="1:8" x14ac:dyDescent="0.25">
      <c r="A43" t="s">
        <v>85</v>
      </c>
      <c r="B43">
        <v>156</v>
      </c>
      <c r="C43">
        <v>2799</v>
      </c>
      <c r="D43">
        <v>1035</v>
      </c>
      <c r="E43">
        <v>3054</v>
      </c>
      <c r="F43">
        <v>357465</v>
      </c>
      <c r="G43">
        <v>22.156164383561645</v>
      </c>
      <c r="H43" t="s">
        <v>372</v>
      </c>
    </row>
    <row r="44" spans="1:8" x14ac:dyDescent="0.25">
      <c r="A44" t="s">
        <v>87</v>
      </c>
      <c r="B44">
        <v>154</v>
      </c>
      <c r="C44">
        <v>497</v>
      </c>
      <c r="D44">
        <v>89</v>
      </c>
      <c r="E44">
        <v>781</v>
      </c>
      <c r="F44">
        <v>82873</v>
      </c>
      <c r="G44">
        <v>14.616438356164384</v>
      </c>
      <c r="H44" t="s">
        <v>373</v>
      </c>
    </row>
    <row r="45" spans="1:8" x14ac:dyDescent="0.25">
      <c r="A45" t="s">
        <v>89</v>
      </c>
      <c r="B45">
        <v>149</v>
      </c>
      <c r="C45">
        <v>1774</v>
      </c>
      <c r="D45">
        <v>504</v>
      </c>
      <c r="E45">
        <v>3964</v>
      </c>
      <c r="F45">
        <v>539797</v>
      </c>
      <c r="G45">
        <v>8.2246575342465746</v>
      </c>
      <c r="H45" t="s">
        <v>371</v>
      </c>
    </row>
    <row r="46" spans="1:8" x14ac:dyDescent="0.25">
      <c r="A46" t="s">
        <v>91</v>
      </c>
      <c r="B46">
        <v>147</v>
      </c>
      <c r="C46">
        <v>3487</v>
      </c>
      <c r="D46">
        <v>773</v>
      </c>
      <c r="E46">
        <v>2562</v>
      </c>
      <c r="F46">
        <v>344976</v>
      </c>
      <c r="G46">
        <v>15.482191780821918</v>
      </c>
      <c r="H46" t="s">
        <v>372</v>
      </c>
    </row>
    <row r="47" spans="1:8" x14ac:dyDescent="0.25">
      <c r="A47" t="s">
        <v>93</v>
      </c>
      <c r="B47">
        <v>145</v>
      </c>
      <c r="C47">
        <v>1091</v>
      </c>
      <c r="D47">
        <v>209</v>
      </c>
      <c r="E47">
        <v>834</v>
      </c>
      <c r="F47">
        <v>205129</v>
      </c>
      <c r="G47">
        <v>12.347945205479451</v>
      </c>
      <c r="H47" t="s">
        <v>372</v>
      </c>
    </row>
    <row r="48" spans="1:8" x14ac:dyDescent="0.25">
      <c r="A48" t="s">
        <v>95</v>
      </c>
      <c r="B48">
        <v>123</v>
      </c>
      <c r="C48">
        <v>954</v>
      </c>
      <c r="D48">
        <v>166</v>
      </c>
      <c r="E48">
        <v>886</v>
      </c>
      <c r="F48">
        <v>165775</v>
      </c>
      <c r="G48">
        <v>6.4602739726027396</v>
      </c>
      <c r="H48" t="s">
        <v>372</v>
      </c>
    </row>
    <row r="49" spans="1:8" x14ac:dyDescent="0.25">
      <c r="A49" t="s">
        <v>97</v>
      </c>
      <c r="B49">
        <v>113</v>
      </c>
      <c r="C49">
        <v>1689</v>
      </c>
      <c r="D49">
        <v>285</v>
      </c>
      <c r="E49">
        <v>3249</v>
      </c>
      <c r="F49">
        <v>394497</v>
      </c>
      <c r="G49">
        <v>15.498630136986302</v>
      </c>
      <c r="H49" t="s">
        <v>372</v>
      </c>
    </row>
    <row r="50" spans="1:8" x14ac:dyDescent="0.25">
      <c r="A50" t="s">
        <v>99</v>
      </c>
      <c r="B50">
        <v>112</v>
      </c>
      <c r="C50">
        <v>1759</v>
      </c>
      <c r="D50">
        <v>359</v>
      </c>
      <c r="E50">
        <v>958</v>
      </c>
      <c r="F50">
        <v>191857</v>
      </c>
      <c r="G50">
        <v>17.399999999999999</v>
      </c>
      <c r="H50" t="s">
        <v>372</v>
      </c>
    </row>
    <row r="51" spans="1:8" x14ac:dyDescent="0.25">
      <c r="A51" t="s">
        <v>101</v>
      </c>
      <c r="B51">
        <v>104</v>
      </c>
      <c r="C51">
        <v>2124</v>
      </c>
      <c r="D51">
        <v>517</v>
      </c>
      <c r="E51">
        <v>4586</v>
      </c>
      <c r="F51">
        <v>454823</v>
      </c>
      <c r="G51">
        <v>21.24931506849315</v>
      </c>
      <c r="H51" t="s">
        <v>372</v>
      </c>
    </row>
    <row r="52" spans="1:8" x14ac:dyDescent="0.25">
      <c r="A52" t="s">
        <v>103</v>
      </c>
      <c r="B52">
        <v>104</v>
      </c>
      <c r="C52">
        <v>1285</v>
      </c>
      <c r="D52">
        <v>198</v>
      </c>
      <c r="E52">
        <v>719</v>
      </c>
      <c r="F52">
        <v>131017</v>
      </c>
      <c r="G52">
        <v>9.7643835616438359</v>
      </c>
      <c r="H52" t="s">
        <v>372</v>
      </c>
    </row>
    <row r="53" spans="1:8" x14ac:dyDescent="0.25">
      <c r="A53" t="s">
        <v>105</v>
      </c>
      <c r="B53">
        <v>103</v>
      </c>
      <c r="C53">
        <v>501</v>
      </c>
      <c r="D53">
        <v>101</v>
      </c>
      <c r="E53">
        <v>711</v>
      </c>
      <c r="F53">
        <v>141601</v>
      </c>
      <c r="G53">
        <v>11.175342465753424</v>
      </c>
      <c r="H53" t="s">
        <v>372</v>
      </c>
    </row>
    <row r="54" spans="1:8" x14ac:dyDescent="0.25">
      <c r="A54" t="s">
        <v>107</v>
      </c>
      <c r="B54">
        <v>97</v>
      </c>
      <c r="C54">
        <v>482</v>
      </c>
      <c r="D54">
        <v>119</v>
      </c>
      <c r="E54">
        <v>857</v>
      </c>
      <c r="F54">
        <v>95127</v>
      </c>
      <c r="G54">
        <v>20.290410958904111</v>
      </c>
      <c r="H54" t="s">
        <v>373</v>
      </c>
    </row>
    <row r="55" spans="1:8" x14ac:dyDescent="0.25">
      <c r="A55" t="s">
        <v>109</v>
      </c>
      <c r="B55">
        <v>87</v>
      </c>
      <c r="C55">
        <v>1486</v>
      </c>
      <c r="D55">
        <v>667</v>
      </c>
      <c r="E55">
        <v>5354</v>
      </c>
      <c r="F55">
        <v>708440</v>
      </c>
      <c r="G55">
        <v>6.1232876712328768</v>
      </c>
      <c r="H55" t="s">
        <v>371</v>
      </c>
    </row>
    <row r="56" spans="1:8" x14ac:dyDescent="0.25">
      <c r="A56" t="s">
        <v>111</v>
      </c>
      <c r="B56">
        <v>87</v>
      </c>
      <c r="C56">
        <v>2712</v>
      </c>
      <c r="D56">
        <v>641</v>
      </c>
      <c r="E56">
        <v>3318</v>
      </c>
      <c r="F56">
        <v>429271</v>
      </c>
      <c r="G56">
        <v>21.093150684931508</v>
      </c>
      <c r="H56" t="s">
        <v>372</v>
      </c>
    </row>
    <row r="57" spans="1:8" x14ac:dyDescent="0.25">
      <c r="A57" t="s">
        <v>113</v>
      </c>
      <c r="B57">
        <v>81</v>
      </c>
      <c r="C57">
        <v>1034</v>
      </c>
      <c r="D57">
        <v>167</v>
      </c>
      <c r="E57">
        <v>0</v>
      </c>
      <c r="F57">
        <v>97824</v>
      </c>
      <c r="G57">
        <v>13.183561643835617</v>
      </c>
      <c r="H57" t="s">
        <v>373</v>
      </c>
    </row>
    <row r="58" spans="1:8" x14ac:dyDescent="0.25">
      <c r="A58" t="s">
        <v>115</v>
      </c>
      <c r="B58">
        <v>77</v>
      </c>
      <c r="C58">
        <v>426</v>
      </c>
      <c r="D58">
        <v>150</v>
      </c>
      <c r="E58">
        <v>1684</v>
      </c>
      <c r="F58">
        <v>161838</v>
      </c>
      <c r="G58">
        <v>5.6520547945205477</v>
      </c>
      <c r="H58" t="s">
        <v>372</v>
      </c>
    </row>
    <row r="59" spans="1:8" x14ac:dyDescent="0.25">
      <c r="A59" t="s">
        <v>117</v>
      </c>
      <c r="B59">
        <v>76</v>
      </c>
      <c r="C59">
        <v>183</v>
      </c>
      <c r="D59">
        <v>124</v>
      </c>
      <c r="E59">
        <v>1374</v>
      </c>
      <c r="F59">
        <v>345705</v>
      </c>
      <c r="G59">
        <v>15.731506849315069</v>
      </c>
      <c r="H59" t="s">
        <v>372</v>
      </c>
    </row>
    <row r="60" spans="1:8" x14ac:dyDescent="0.25">
      <c r="A60" t="s">
        <v>119</v>
      </c>
      <c r="B60">
        <v>75</v>
      </c>
      <c r="C60">
        <v>1512</v>
      </c>
      <c r="D60">
        <v>239</v>
      </c>
      <c r="E60">
        <v>850</v>
      </c>
      <c r="F60">
        <v>176574</v>
      </c>
      <c r="G60">
        <v>6.7150684931506852</v>
      </c>
      <c r="H60" t="s">
        <v>372</v>
      </c>
    </row>
    <row r="61" spans="1:8" x14ac:dyDescent="0.25">
      <c r="A61" t="s">
        <v>121</v>
      </c>
      <c r="B61">
        <v>75</v>
      </c>
      <c r="C61">
        <v>14646</v>
      </c>
      <c r="D61">
        <v>2789</v>
      </c>
      <c r="E61">
        <v>10447</v>
      </c>
      <c r="F61">
        <v>2300066</v>
      </c>
      <c r="G61">
        <v>11.682191780821919</v>
      </c>
      <c r="H61" t="s">
        <v>371</v>
      </c>
    </row>
    <row r="62" spans="1:8" x14ac:dyDescent="0.25">
      <c r="A62" t="s">
        <v>123</v>
      </c>
      <c r="B62">
        <v>75</v>
      </c>
      <c r="C62">
        <v>1085</v>
      </c>
      <c r="D62">
        <v>188</v>
      </c>
      <c r="E62">
        <v>1215</v>
      </c>
      <c r="F62">
        <v>173555</v>
      </c>
      <c r="G62">
        <v>15.583561643835617</v>
      </c>
      <c r="H62" t="s">
        <v>372</v>
      </c>
    </row>
    <row r="63" spans="1:8" x14ac:dyDescent="0.25">
      <c r="A63" t="s">
        <v>125</v>
      </c>
      <c r="B63">
        <v>73</v>
      </c>
      <c r="C63">
        <v>2604</v>
      </c>
      <c r="D63">
        <v>232</v>
      </c>
      <c r="E63">
        <v>551</v>
      </c>
      <c r="F63">
        <v>117157</v>
      </c>
      <c r="G63">
        <v>23.761643835616439</v>
      </c>
      <c r="H63" t="s">
        <v>372</v>
      </c>
    </row>
    <row r="64" spans="1:8" x14ac:dyDescent="0.25">
      <c r="A64" t="s">
        <v>127</v>
      </c>
      <c r="B64">
        <v>71</v>
      </c>
      <c r="C64">
        <v>517</v>
      </c>
      <c r="D64">
        <v>106</v>
      </c>
      <c r="E64">
        <v>730</v>
      </c>
      <c r="F64">
        <v>88601</v>
      </c>
      <c r="G64">
        <v>9.3287671232876708</v>
      </c>
      <c r="H64" t="s">
        <v>373</v>
      </c>
    </row>
    <row r="65" spans="1:8" x14ac:dyDescent="0.25">
      <c r="A65" t="s">
        <v>129</v>
      </c>
      <c r="B65">
        <v>71</v>
      </c>
      <c r="C65">
        <v>732</v>
      </c>
      <c r="D65">
        <v>167</v>
      </c>
      <c r="E65">
        <v>2109</v>
      </c>
      <c r="F65">
        <v>195544</v>
      </c>
      <c r="G65">
        <v>6.2438356164383562</v>
      </c>
      <c r="H65" t="s">
        <v>372</v>
      </c>
    </row>
    <row r="66" spans="1:8" x14ac:dyDescent="0.25">
      <c r="A66" t="s">
        <v>131</v>
      </c>
      <c r="B66">
        <v>66</v>
      </c>
      <c r="C66">
        <v>1274</v>
      </c>
      <c r="D66">
        <v>179</v>
      </c>
      <c r="E66">
        <v>1023</v>
      </c>
      <c r="F66">
        <v>190811</v>
      </c>
      <c r="G66">
        <v>17.334246575342465</v>
      </c>
      <c r="H66" t="s">
        <v>372</v>
      </c>
    </row>
    <row r="67" spans="1:8" x14ac:dyDescent="0.25">
      <c r="A67" t="s">
        <v>133</v>
      </c>
      <c r="B67">
        <v>66</v>
      </c>
      <c r="C67">
        <v>355</v>
      </c>
      <c r="D67">
        <v>61</v>
      </c>
      <c r="E67">
        <v>319</v>
      </c>
      <c r="F67">
        <v>43411</v>
      </c>
      <c r="G67">
        <v>17.783561643835615</v>
      </c>
      <c r="H67" t="s">
        <v>373</v>
      </c>
    </row>
    <row r="68" spans="1:8" x14ac:dyDescent="0.25">
      <c r="A68" t="s">
        <v>135</v>
      </c>
      <c r="B68">
        <v>62</v>
      </c>
      <c r="C68">
        <v>473</v>
      </c>
      <c r="D68">
        <v>41</v>
      </c>
      <c r="E68">
        <v>96</v>
      </c>
      <c r="F68">
        <v>16509</v>
      </c>
      <c r="G68">
        <v>21.980821917808218</v>
      </c>
      <c r="H68" t="s">
        <v>373</v>
      </c>
    </row>
    <row r="69" spans="1:8" x14ac:dyDescent="0.25">
      <c r="A69" t="s">
        <v>137</v>
      </c>
      <c r="B69">
        <v>60</v>
      </c>
      <c r="C69">
        <v>191</v>
      </c>
      <c r="D69">
        <v>74</v>
      </c>
      <c r="E69">
        <v>275</v>
      </c>
      <c r="F69">
        <v>29273</v>
      </c>
      <c r="G69">
        <v>4.8986301369863012</v>
      </c>
      <c r="H69" t="s">
        <v>373</v>
      </c>
    </row>
    <row r="70" spans="1:8" x14ac:dyDescent="0.25">
      <c r="A70" t="s">
        <v>139</v>
      </c>
      <c r="B70">
        <v>58</v>
      </c>
      <c r="C70">
        <v>1105</v>
      </c>
      <c r="D70">
        <v>130</v>
      </c>
      <c r="E70">
        <v>755</v>
      </c>
      <c r="F70">
        <v>113847</v>
      </c>
      <c r="G70">
        <v>18</v>
      </c>
      <c r="H70" t="s">
        <v>372</v>
      </c>
    </row>
    <row r="71" spans="1:8" x14ac:dyDescent="0.25">
      <c r="A71" t="s">
        <v>141</v>
      </c>
      <c r="B71">
        <v>56</v>
      </c>
      <c r="C71">
        <v>429</v>
      </c>
      <c r="D71">
        <v>135</v>
      </c>
      <c r="E71">
        <v>1516</v>
      </c>
      <c r="F71">
        <v>180309</v>
      </c>
      <c r="G71">
        <v>10.597260273972603</v>
      </c>
      <c r="H71" t="s">
        <v>372</v>
      </c>
    </row>
    <row r="72" spans="1:8" x14ac:dyDescent="0.25">
      <c r="A72" t="s">
        <v>143</v>
      </c>
      <c r="B72">
        <v>55</v>
      </c>
      <c r="C72">
        <v>165</v>
      </c>
      <c r="D72">
        <v>57</v>
      </c>
      <c r="E72">
        <v>434</v>
      </c>
      <c r="F72">
        <v>69273</v>
      </c>
      <c r="G72">
        <v>24.106849315068494</v>
      </c>
      <c r="H72" t="s">
        <v>373</v>
      </c>
    </row>
    <row r="73" spans="1:8" x14ac:dyDescent="0.25">
      <c r="A73" t="s">
        <v>145</v>
      </c>
      <c r="B73">
        <v>53</v>
      </c>
      <c r="C73">
        <v>1035</v>
      </c>
      <c r="D73">
        <v>281</v>
      </c>
      <c r="E73">
        <v>1408</v>
      </c>
      <c r="F73">
        <v>221876</v>
      </c>
      <c r="G73">
        <v>16.906849315068492</v>
      </c>
      <c r="H73" t="s">
        <v>372</v>
      </c>
    </row>
    <row r="74" spans="1:8" x14ac:dyDescent="0.25">
      <c r="A74" t="s">
        <v>147</v>
      </c>
      <c r="B74">
        <v>52</v>
      </c>
      <c r="C74">
        <v>1799</v>
      </c>
      <c r="D74">
        <v>238</v>
      </c>
      <c r="E74">
        <v>0</v>
      </c>
      <c r="F74">
        <v>193550</v>
      </c>
      <c r="G74">
        <v>13.186301369863013</v>
      </c>
      <c r="H74" t="s">
        <v>372</v>
      </c>
    </row>
    <row r="75" spans="1:8" x14ac:dyDescent="0.25">
      <c r="A75" t="s">
        <v>149</v>
      </c>
      <c r="B75">
        <v>51</v>
      </c>
      <c r="C75">
        <v>2875</v>
      </c>
      <c r="D75">
        <v>754</v>
      </c>
      <c r="E75">
        <v>4400</v>
      </c>
      <c r="F75">
        <v>712145</v>
      </c>
      <c r="G75">
        <v>19.86849315068493</v>
      </c>
      <c r="H75" t="s">
        <v>371</v>
      </c>
    </row>
    <row r="76" spans="1:8" x14ac:dyDescent="0.25">
      <c r="A76" t="s">
        <v>151</v>
      </c>
      <c r="B76">
        <v>49</v>
      </c>
      <c r="C76">
        <v>576</v>
      </c>
      <c r="D76">
        <v>116</v>
      </c>
      <c r="E76">
        <v>5169</v>
      </c>
      <c r="F76">
        <v>911543</v>
      </c>
      <c r="G76">
        <v>8.0273972602739718</v>
      </c>
      <c r="H76" t="s">
        <v>371</v>
      </c>
    </row>
    <row r="77" spans="1:8" x14ac:dyDescent="0.25">
      <c r="A77" t="s">
        <v>153</v>
      </c>
      <c r="B77">
        <v>42</v>
      </c>
      <c r="C77">
        <v>981</v>
      </c>
      <c r="D77">
        <v>182</v>
      </c>
      <c r="E77">
        <v>2216</v>
      </c>
      <c r="F77">
        <v>298185</v>
      </c>
      <c r="G77">
        <v>19.671232876712327</v>
      </c>
      <c r="H77" t="s">
        <v>372</v>
      </c>
    </row>
    <row r="78" spans="1:8" x14ac:dyDescent="0.25">
      <c r="A78" t="s">
        <v>155</v>
      </c>
      <c r="B78">
        <v>35</v>
      </c>
      <c r="C78">
        <v>289</v>
      </c>
      <c r="D78">
        <v>48</v>
      </c>
      <c r="E78">
        <v>1149</v>
      </c>
      <c r="F78">
        <v>368106</v>
      </c>
      <c r="G78">
        <v>19.342465753424658</v>
      </c>
      <c r="H78" t="s">
        <v>372</v>
      </c>
    </row>
    <row r="79" spans="1:8" x14ac:dyDescent="0.25">
      <c r="A79" t="s">
        <v>157</v>
      </c>
      <c r="B79">
        <v>33</v>
      </c>
      <c r="C79">
        <v>1254</v>
      </c>
      <c r="D79">
        <v>234</v>
      </c>
      <c r="E79">
        <v>1887</v>
      </c>
      <c r="F79">
        <v>327737</v>
      </c>
      <c r="G79">
        <v>19.753424657534246</v>
      </c>
      <c r="H79" t="s">
        <v>372</v>
      </c>
    </row>
    <row r="80" spans="1:8" x14ac:dyDescent="0.25">
      <c r="A80" t="s">
        <v>159</v>
      </c>
      <c r="B80">
        <v>28</v>
      </c>
      <c r="C80">
        <v>37</v>
      </c>
      <c r="D80">
        <v>25</v>
      </c>
      <c r="E80">
        <v>2937</v>
      </c>
      <c r="F80">
        <v>589746</v>
      </c>
      <c r="G80">
        <v>21.082191780821919</v>
      </c>
      <c r="H80" t="s">
        <v>371</v>
      </c>
    </row>
    <row r="81" spans="1:8" x14ac:dyDescent="0.25">
      <c r="A81" t="s">
        <v>161</v>
      </c>
      <c r="B81">
        <v>28</v>
      </c>
      <c r="C81">
        <v>2197</v>
      </c>
      <c r="D81">
        <v>421</v>
      </c>
      <c r="E81">
        <v>1659</v>
      </c>
      <c r="F81">
        <v>263636</v>
      </c>
      <c r="G81">
        <v>18.580821917808219</v>
      </c>
      <c r="H81" t="s">
        <v>372</v>
      </c>
    </row>
    <row r="82" spans="1:8" x14ac:dyDescent="0.25">
      <c r="A82" t="s">
        <v>163</v>
      </c>
      <c r="B82">
        <v>26</v>
      </c>
      <c r="C82">
        <v>1738</v>
      </c>
      <c r="D82">
        <v>119</v>
      </c>
      <c r="E82">
        <v>1048</v>
      </c>
      <c r="F82">
        <v>310319</v>
      </c>
      <c r="G82">
        <v>14.416438356164383</v>
      </c>
      <c r="H82" t="s">
        <v>372</v>
      </c>
    </row>
    <row r="83" spans="1:8" x14ac:dyDescent="0.25">
      <c r="A83" t="s">
        <v>165</v>
      </c>
      <c r="B83">
        <v>23</v>
      </c>
      <c r="C83">
        <v>266</v>
      </c>
      <c r="D83">
        <v>71</v>
      </c>
      <c r="E83">
        <v>827</v>
      </c>
      <c r="F83">
        <v>111412</v>
      </c>
      <c r="G83">
        <v>9.8493150684931514</v>
      </c>
      <c r="H83" t="s">
        <v>372</v>
      </c>
    </row>
    <row r="84" spans="1:8" x14ac:dyDescent="0.25">
      <c r="A84" t="s">
        <v>167</v>
      </c>
      <c r="B84">
        <v>23</v>
      </c>
      <c r="C84">
        <v>159</v>
      </c>
      <c r="D84">
        <v>54</v>
      </c>
      <c r="E84">
        <v>623</v>
      </c>
      <c r="F84">
        <v>98050</v>
      </c>
      <c r="G84">
        <v>20.076712328767123</v>
      </c>
      <c r="H84" t="s">
        <v>373</v>
      </c>
    </row>
    <row r="85" spans="1:8" x14ac:dyDescent="0.25">
      <c r="A85" t="s">
        <v>169</v>
      </c>
      <c r="B85">
        <v>21</v>
      </c>
      <c r="C85">
        <v>904</v>
      </c>
      <c r="D85">
        <v>121</v>
      </c>
      <c r="E85">
        <v>409</v>
      </c>
      <c r="F85">
        <v>101198</v>
      </c>
      <c r="G85">
        <v>10.471232876712328</v>
      </c>
      <c r="H85" t="s">
        <v>372</v>
      </c>
    </row>
    <row r="86" spans="1:8" x14ac:dyDescent="0.25">
      <c r="A86" t="s">
        <v>171</v>
      </c>
      <c r="B86">
        <v>21</v>
      </c>
      <c r="C86">
        <v>211</v>
      </c>
      <c r="D86">
        <v>70</v>
      </c>
      <c r="E86">
        <v>412</v>
      </c>
      <c r="F86">
        <v>68684</v>
      </c>
      <c r="G86">
        <v>19.610958904109587</v>
      </c>
      <c r="H86" t="s">
        <v>373</v>
      </c>
    </row>
    <row r="87" spans="1:8" x14ac:dyDescent="0.25">
      <c r="A87" t="s">
        <v>173</v>
      </c>
      <c r="B87">
        <v>20</v>
      </c>
      <c r="C87">
        <v>3865</v>
      </c>
      <c r="D87">
        <v>359</v>
      </c>
      <c r="E87">
        <v>1791</v>
      </c>
      <c r="F87">
        <v>401355</v>
      </c>
      <c r="G87">
        <v>17.895890410958906</v>
      </c>
      <c r="H87" t="s">
        <v>372</v>
      </c>
    </row>
    <row r="88" spans="1:8" x14ac:dyDescent="0.25">
      <c r="A88" t="s">
        <v>175</v>
      </c>
      <c r="B88">
        <v>19</v>
      </c>
      <c r="C88">
        <v>13862</v>
      </c>
      <c r="D88">
        <v>990</v>
      </c>
      <c r="E88">
        <v>6811</v>
      </c>
      <c r="F88">
        <v>1101351</v>
      </c>
      <c r="G88">
        <v>13.468493150684932</v>
      </c>
      <c r="H88" t="s">
        <v>371</v>
      </c>
    </row>
    <row r="89" spans="1:8" x14ac:dyDescent="0.25">
      <c r="A89" t="s">
        <v>177</v>
      </c>
      <c r="B89">
        <v>17</v>
      </c>
      <c r="C89">
        <v>1841</v>
      </c>
      <c r="D89">
        <v>226</v>
      </c>
      <c r="E89">
        <v>655</v>
      </c>
      <c r="F89">
        <v>132017</v>
      </c>
      <c r="G89">
        <v>21.917808219178081</v>
      </c>
      <c r="H89" t="s">
        <v>372</v>
      </c>
    </row>
    <row r="90" spans="1:8" x14ac:dyDescent="0.25">
      <c r="A90" t="s">
        <v>179</v>
      </c>
      <c r="B90">
        <v>15</v>
      </c>
      <c r="C90">
        <v>1414</v>
      </c>
      <c r="D90">
        <v>232</v>
      </c>
      <c r="E90">
        <v>778</v>
      </c>
      <c r="F90">
        <v>150436</v>
      </c>
      <c r="G90">
        <v>16.553424657534247</v>
      </c>
      <c r="H90" t="s">
        <v>372</v>
      </c>
    </row>
    <row r="91" spans="1:8" x14ac:dyDescent="0.25">
      <c r="A91" t="s">
        <v>181</v>
      </c>
      <c r="B91">
        <v>14</v>
      </c>
      <c r="C91">
        <v>1206</v>
      </c>
      <c r="D91">
        <v>96</v>
      </c>
      <c r="E91">
        <v>210</v>
      </c>
      <c r="F91">
        <v>53272</v>
      </c>
      <c r="G91">
        <v>10.947945205479453</v>
      </c>
      <c r="H91" t="s">
        <v>373</v>
      </c>
    </row>
    <row r="92" spans="1:8" x14ac:dyDescent="0.25">
      <c r="A92" t="s">
        <v>183</v>
      </c>
      <c r="B92">
        <v>14</v>
      </c>
      <c r="C92">
        <v>209</v>
      </c>
      <c r="D92">
        <v>73</v>
      </c>
      <c r="E92">
        <v>411</v>
      </c>
      <c r="F92">
        <v>110089</v>
      </c>
      <c r="G92">
        <v>4.5424657534246577</v>
      </c>
      <c r="H92" t="s">
        <v>372</v>
      </c>
    </row>
    <row r="93" spans="1:8" x14ac:dyDescent="0.25">
      <c r="A93" t="s">
        <v>185</v>
      </c>
      <c r="B93">
        <v>13</v>
      </c>
      <c r="C93">
        <v>3891</v>
      </c>
      <c r="D93">
        <v>343</v>
      </c>
      <c r="E93">
        <v>1516</v>
      </c>
      <c r="F93">
        <v>377894</v>
      </c>
      <c r="G93">
        <v>19.82191780821918</v>
      </c>
      <c r="H93" t="s">
        <v>372</v>
      </c>
    </row>
    <row r="94" spans="1:8" x14ac:dyDescent="0.25">
      <c r="A94" t="s">
        <v>187</v>
      </c>
      <c r="B94">
        <v>13</v>
      </c>
      <c r="C94">
        <v>605</v>
      </c>
      <c r="D94">
        <v>147</v>
      </c>
      <c r="E94">
        <v>2233</v>
      </c>
      <c r="F94">
        <v>182676</v>
      </c>
      <c r="G94">
        <v>8.8246575342465761</v>
      </c>
      <c r="H94" t="s">
        <v>372</v>
      </c>
    </row>
    <row r="95" spans="1:8" x14ac:dyDescent="0.25">
      <c r="A95" t="s">
        <v>189</v>
      </c>
      <c r="B95">
        <v>12</v>
      </c>
      <c r="C95">
        <v>294</v>
      </c>
      <c r="D95">
        <v>72</v>
      </c>
      <c r="E95">
        <v>320</v>
      </c>
      <c r="F95">
        <v>43654</v>
      </c>
      <c r="G95">
        <v>17.665753424657535</v>
      </c>
      <c r="H95" t="s">
        <v>373</v>
      </c>
    </row>
    <row r="96" spans="1:8" x14ac:dyDescent="0.25">
      <c r="A96" t="s">
        <v>191</v>
      </c>
      <c r="B96">
        <v>12</v>
      </c>
      <c r="C96">
        <v>836</v>
      </c>
      <c r="D96">
        <v>155</v>
      </c>
      <c r="E96">
        <v>644</v>
      </c>
      <c r="F96">
        <v>134531</v>
      </c>
      <c r="G96">
        <v>6.9315068493150687</v>
      </c>
      <c r="H96" t="s">
        <v>372</v>
      </c>
    </row>
    <row r="97" spans="1:8" x14ac:dyDescent="0.25">
      <c r="A97" t="s">
        <v>193</v>
      </c>
      <c r="B97">
        <v>11</v>
      </c>
      <c r="C97">
        <v>139</v>
      </c>
      <c r="D97">
        <v>31</v>
      </c>
      <c r="E97">
        <v>1306</v>
      </c>
      <c r="F97">
        <v>186018</v>
      </c>
      <c r="G97">
        <v>11.693150684931506</v>
      </c>
      <c r="H97" t="s">
        <v>372</v>
      </c>
    </row>
    <row r="98" spans="1:8" x14ac:dyDescent="0.25">
      <c r="A98" t="s">
        <v>195</v>
      </c>
      <c r="B98">
        <v>10</v>
      </c>
      <c r="C98">
        <v>517</v>
      </c>
      <c r="D98">
        <v>94</v>
      </c>
      <c r="E98">
        <v>474</v>
      </c>
      <c r="F98">
        <v>107595</v>
      </c>
      <c r="G98">
        <v>8.8493150684931514</v>
      </c>
      <c r="H98" t="s">
        <v>372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1ADF-8ED3-4824-B0B8-D6AE64346376}">
  <dimension ref="A1:O98"/>
  <sheetViews>
    <sheetView topLeftCell="A4" workbookViewId="0">
      <selection activeCell="L1" sqref="L1:O2"/>
    </sheetView>
  </sheetViews>
  <sheetFormatPr defaultRowHeight="13.8" x14ac:dyDescent="0.25"/>
  <cols>
    <col min="1" max="4" width="8.6640625" style="1"/>
  </cols>
  <sheetData>
    <row r="1" spans="1:15" x14ac:dyDescent="0.25">
      <c r="A1" s="1" t="s">
        <v>345</v>
      </c>
      <c r="B1" s="1" t="s">
        <v>3</v>
      </c>
      <c r="C1" s="1" t="s">
        <v>343</v>
      </c>
      <c r="D1" s="1" t="s">
        <v>344</v>
      </c>
      <c r="E1" t="s">
        <v>368</v>
      </c>
      <c r="F1" t="s">
        <v>370</v>
      </c>
      <c r="I1" s="8"/>
      <c r="J1" s="8" t="s">
        <v>374</v>
      </c>
      <c r="K1" s="8" t="s">
        <v>375</v>
      </c>
      <c r="L1" s="8" t="s">
        <v>376</v>
      </c>
      <c r="M1" s="8" t="s">
        <v>377</v>
      </c>
      <c r="N1" s="8" t="s">
        <v>378</v>
      </c>
      <c r="O1" s="8" t="s">
        <v>379</v>
      </c>
    </row>
    <row r="2" spans="1:15" x14ac:dyDescent="0.25">
      <c r="A2" s="1">
        <f>(ROW()-1)/97</f>
        <v>1.0309278350515464E-2</v>
      </c>
      <c r="B2" s="1">
        <v>0.65</v>
      </c>
      <c r="C2" s="1">
        <v>0.15553359683794465</v>
      </c>
      <c r="D2" s="1">
        <v>0.19881422924901185</v>
      </c>
      <c r="E2">
        <v>1330151</v>
      </c>
      <c r="F2" t="s">
        <v>371</v>
      </c>
      <c r="I2" s="8" t="s">
        <v>371</v>
      </c>
      <c r="J2" s="8">
        <v>33</v>
      </c>
      <c r="K2" s="9">
        <v>0.34</v>
      </c>
      <c r="L2">
        <f>MAX(E:E)</f>
        <v>3262525</v>
      </c>
      <c r="M2">
        <f>MIN(E:E)</f>
        <v>16509</v>
      </c>
      <c r="N2">
        <v>563487.07220000005</v>
      </c>
      <c r="O2">
        <f>MEDIAN(E:E)</f>
        <v>327737</v>
      </c>
    </row>
    <row r="3" spans="1:15" x14ac:dyDescent="0.25">
      <c r="A3" s="1">
        <f t="shared" ref="A3:A66" si="0">(ROW()-1)/97</f>
        <v>2.0618556701030927E-2</v>
      </c>
      <c r="B3" s="1">
        <v>0.7</v>
      </c>
      <c r="C3" s="1">
        <v>0.18666666666666668</v>
      </c>
      <c r="D3" s="1">
        <v>0.11244444444444444</v>
      </c>
      <c r="E3">
        <v>2004152</v>
      </c>
      <c r="F3" t="s">
        <v>371</v>
      </c>
      <c r="I3" s="8" t="s">
        <v>372</v>
      </c>
      <c r="J3" s="8">
        <v>52</v>
      </c>
      <c r="K3" s="9">
        <v>0.54</v>
      </c>
    </row>
    <row r="4" spans="1:15" x14ac:dyDescent="0.25">
      <c r="A4" s="1">
        <f t="shared" si="0"/>
        <v>3.0927835051546393E-2</v>
      </c>
      <c r="B4" s="1">
        <v>0.91</v>
      </c>
      <c r="C4" s="1">
        <v>6.4256153343498143E-2</v>
      </c>
      <c r="D4" s="1">
        <v>2.3742104116750165E-2</v>
      </c>
      <c r="E4">
        <v>2984573</v>
      </c>
      <c r="F4" t="s">
        <v>371</v>
      </c>
      <c r="I4" s="8" t="s">
        <v>373</v>
      </c>
      <c r="J4" s="8">
        <v>12</v>
      </c>
      <c r="K4" s="9">
        <v>0.12</v>
      </c>
    </row>
    <row r="5" spans="1:15" x14ac:dyDescent="0.25">
      <c r="A5" s="1">
        <f t="shared" si="0"/>
        <v>4.1237113402061855E-2</v>
      </c>
      <c r="B5" s="1">
        <v>0.77</v>
      </c>
      <c r="C5" s="1">
        <v>0.10756586898718878</v>
      </c>
      <c r="D5" s="1">
        <v>0.1211022480058013</v>
      </c>
      <c r="E5">
        <v>465298</v>
      </c>
      <c r="F5" t="s">
        <v>372</v>
      </c>
    </row>
    <row r="6" spans="1:15" x14ac:dyDescent="0.25">
      <c r="A6" s="1">
        <f t="shared" si="0"/>
        <v>5.1546391752577317E-2</v>
      </c>
      <c r="B6" s="1">
        <v>0.61</v>
      </c>
      <c r="C6" s="1">
        <v>0.21076604554865425</v>
      </c>
      <c r="D6" s="1">
        <v>0.18012422360248448</v>
      </c>
      <c r="E6">
        <v>1217995</v>
      </c>
      <c r="F6" t="s">
        <v>371</v>
      </c>
    </row>
    <row r="7" spans="1:15" x14ac:dyDescent="0.25">
      <c r="A7" s="1">
        <f t="shared" si="0"/>
        <v>6.1855670103092786E-2</v>
      </c>
      <c r="B7" s="1">
        <v>0.82</v>
      </c>
      <c r="C7" s="1">
        <v>0.14385801027557216</v>
      </c>
      <c r="D7" s="1">
        <v>3.3162073797290983E-2</v>
      </c>
      <c r="E7">
        <v>927601</v>
      </c>
      <c r="F7" t="s">
        <v>371</v>
      </c>
    </row>
    <row r="8" spans="1:15" x14ac:dyDescent="0.25">
      <c r="A8" s="1">
        <f t="shared" si="0"/>
        <v>7.2164948453608241E-2</v>
      </c>
      <c r="B8" s="1">
        <v>0.65</v>
      </c>
      <c r="C8" s="1">
        <v>0.18773534158149544</v>
      </c>
      <c r="D8" s="1">
        <v>0.15761161915008068</v>
      </c>
      <c r="E8">
        <v>1294357</v>
      </c>
      <c r="F8" t="s">
        <v>371</v>
      </c>
    </row>
    <row r="9" spans="1:15" x14ac:dyDescent="0.25">
      <c r="A9" s="1">
        <f t="shared" si="0"/>
        <v>8.247422680412371E-2</v>
      </c>
      <c r="B9" s="1">
        <v>0.76</v>
      </c>
      <c r="C9" s="1">
        <v>0.15034965034965034</v>
      </c>
      <c r="D9" s="1">
        <v>8.5314685314685321E-2</v>
      </c>
      <c r="E9">
        <v>809957</v>
      </c>
      <c r="F9" t="s">
        <v>371</v>
      </c>
    </row>
    <row r="10" spans="1:15" x14ac:dyDescent="0.25">
      <c r="A10" s="1">
        <f t="shared" si="0"/>
        <v>9.2783505154639179E-2</v>
      </c>
      <c r="B10" s="1">
        <v>0.56999999999999995</v>
      </c>
      <c r="C10" s="1">
        <v>0.29950669485553205</v>
      </c>
      <c r="D10" s="1">
        <v>0.12896405919661733</v>
      </c>
      <c r="E10">
        <v>727327</v>
      </c>
      <c r="F10" t="s">
        <v>371</v>
      </c>
    </row>
    <row r="11" spans="1:15" x14ac:dyDescent="0.25">
      <c r="A11" s="1">
        <f t="shared" si="0"/>
        <v>0.10309278350515463</v>
      </c>
      <c r="B11" s="1">
        <v>0.83</v>
      </c>
      <c r="C11" s="1">
        <v>0.1072992700729927</v>
      </c>
      <c r="D11" s="1">
        <v>6.2773722627737227E-2</v>
      </c>
      <c r="E11">
        <v>977070</v>
      </c>
      <c r="F11" t="s">
        <v>371</v>
      </c>
    </row>
    <row r="12" spans="1:15" x14ac:dyDescent="0.25">
      <c r="A12" s="1">
        <f t="shared" si="0"/>
        <v>0.1134020618556701</v>
      </c>
      <c r="B12" s="1">
        <v>0.78</v>
      </c>
      <c r="C12" s="1">
        <v>0.16197718631178706</v>
      </c>
      <c r="D12" s="1">
        <v>6.1596958174904945E-2</v>
      </c>
      <c r="E12">
        <v>536163</v>
      </c>
      <c r="F12" t="s">
        <v>371</v>
      </c>
    </row>
    <row r="13" spans="1:15" x14ac:dyDescent="0.25">
      <c r="A13" s="1">
        <f t="shared" si="0"/>
        <v>0.12371134020618557</v>
      </c>
      <c r="B13" s="1">
        <v>0.38</v>
      </c>
      <c r="C13" s="1">
        <v>0.47718484145398299</v>
      </c>
      <c r="D13" s="1">
        <v>0.14539829853054911</v>
      </c>
      <c r="E13">
        <v>551112</v>
      </c>
      <c r="F13" t="s">
        <v>371</v>
      </c>
    </row>
    <row r="14" spans="1:15" x14ac:dyDescent="0.25">
      <c r="A14" s="1">
        <f t="shared" si="0"/>
        <v>0.13402061855670103</v>
      </c>
      <c r="B14" s="1">
        <v>0.81</v>
      </c>
      <c r="C14" s="1">
        <v>0.12727272727272726</v>
      </c>
      <c r="D14" s="1">
        <v>6.2450592885375494E-2</v>
      </c>
      <c r="E14">
        <v>1044871</v>
      </c>
      <c r="F14" t="s">
        <v>371</v>
      </c>
    </row>
    <row r="15" spans="1:15" x14ac:dyDescent="0.25">
      <c r="A15" s="1">
        <f t="shared" si="0"/>
        <v>0.14432989690721648</v>
      </c>
      <c r="B15" s="1">
        <v>0.75</v>
      </c>
      <c r="C15" s="1">
        <v>0.17092511013215858</v>
      </c>
      <c r="D15" s="1">
        <v>8.1938325991189428E-2</v>
      </c>
      <c r="E15">
        <v>1017928</v>
      </c>
      <c r="F15" t="s">
        <v>371</v>
      </c>
    </row>
    <row r="16" spans="1:15" x14ac:dyDescent="0.25">
      <c r="A16" s="1">
        <f t="shared" si="0"/>
        <v>0.15463917525773196</v>
      </c>
      <c r="B16" s="1">
        <v>0.92</v>
      </c>
      <c r="C16" s="1">
        <v>6.0287081339712917E-2</v>
      </c>
      <c r="D16" s="1">
        <v>1.9138755980861243E-2</v>
      </c>
      <c r="E16">
        <v>278554</v>
      </c>
      <c r="F16" t="s">
        <v>372</v>
      </c>
    </row>
    <row r="17" spans="1:6" x14ac:dyDescent="0.25">
      <c r="A17" s="1">
        <f t="shared" si="0"/>
        <v>0.16494845360824742</v>
      </c>
      <c r="B17" s="1">
        <v>0.75</v>
      </c>
      <c r="C17" s="1">
        <v>0.16210295728368018</v>
      </c>
      <c r="D17" s="1">
        <v>8.4337349397590355E-2</v>
      </c>
      <c r="E17">
        <v>2306971</v>
      </c>
      <c r="F17" t="s">
        <v>371</v>
      </c>
    </row>
    <row r="18" spans="1:6" x14ac:dyDescent="0.25">
      <c r="A18" s="1">
        <f t="shared" si="0"/>
        <v>0.17525773195876287</v>
      </c>
      <c r="B18" s="1">
        <v>0.83</v>
      </c>
      <c r="C18" s="1">
        <v>0.12414578587699317</v>
      </c>
      <c r="D18" s="1">
        <v>4.5558086560364468E-2</v>
      </c>
      <c r="E18">
        <v>1287803</v>
      </c>
      <c r="F18" t="s">
        <v>371</v>
      </c>
    </row>
    <row r="19" spans="1:6" x14ac:dyDescent="0.25">
      <c r="A19" s="1">
        <f t="shared" si="0"/>
        <v>0.18556701030927836</v>
      </c>
      <c r="B19" s="1">
        <v>0.6</v>
      </c>
      <c r="C19" s="1">
        <v>0.26045400238948624</v>
      </c>
      <c r="D19" s="1">
        <v>0.13859020310633213</v>
      </c>
      <c r="E19">
        <v>3262525</v>
      </c>
      <c r="F19" t="s">
        <v>371</v>
      </c>
    </row>
    <row r="20" spans="1:6" x14ac:dyDescent="0.25">
      <c r="A20" s="1">
        <f t="shared" si="0"/>
        <v>0.19587628865979381</v>
      </c>
      <c r="B20" s="1">
        <v>0.62</v>
      </c>
      <c r="C20" s="1">
        <v>0.19387755102040816</v>
      </c>
      <c r="D20" s="1">
        <v>0.18367346938775511</v>
      </c>
      <c r="E20">
        <v>757002</v>
      </c>
      <c r="F20" t="s">
        <v>371</v>
      </c>
    </row>
    <row r="21" spans="1:6" x14ac:dyDescent="0.25">
      <c r="A21" s="1">
        <f t="shared" si="0"/>
        <v>0.20618556701030927</v>
      </c>
      <c r="B21" s="1">
        <v>0.86</v>
      </c>
      <c r="C21" s="1">
        <v>8.5413929040735873E-2</v>
      </c>
      <c r="D21" s="1">
        <v>5.7818659658344283E-2</v>
      </c>
      <c r="E21">
        <v>466586</v>
      </c>
      <c r="F21" t="s">
        <v>372</v>
      </c>
    </row>
    <row r="22" spans="1:6" x14ac:dyDescent="0.25">
      <c r="A22" s="1">
        <f t="shared" si="0"/>
        <v>0.21649484536082475</v>
      </c>
      <c r="B22" s="1">
        <v>0.84</v>
      </c>
      <c r="C22" s="1">
        <v>0.11201079622132254</v>
      </c>
      <c r="D22" s="1">
        <v>4.5883940620782729E-2</v>
      </c>
      <c r="E22">
        <v>691579</v>
      </c>
      <c r="F22" t="s">
        <v>371</v>
      </c>
    </row>
    <row r="23" spans="1:6" x14ac:dyDescent="0.25">
      <c r="A23" s="1">
        <f t="shared" si="0"/>
        <v>0.22680412371134021</v>
      </c>
      <c r="B23" s="1">
        <v>0.64</v>
      </c>
      <c r="C23" s="1">
        <v>0.21982758620689655</v>
      </c>
      <c r="D23" s="1">
        <v>0.14080459770114942</v>
      </c>
      <c r="E23">
        <v>634403</v>
      </c>
      <c r="F23" t="s">
        <v>371</v>
      </c>
    </row>
    <row r="24" spans="1:6" x14ac:dyDescent="0.25">
      <c r="A24" s="1">
        <f t="shared" si="0"/>
        <v>0.23711340206185566</v>
      </c>
      <c r="B24" s="1">
        <v>0.64</v>
      </c>
      <c r="C24" s="1">
        <v>0.2365079365079365</v>
      </c>
      <c r="D24" s="1">
        <v>0.12222222222222222</v>
      </c>
      <c r="E24">
        <v>1754806</v>
      </c>
      <c r="F24" t="s">
        <v>371</v>
      </c>
    </row>
    <row r="25" spans="1:6" x14ac:dyDescent="0.25">
      <c r="A25" s="1">
        <f t="shared" si="0"/>
        <v>0.24742268041237114</v>
      </c>
      <c r="B25" s="1">
        <v>0.98</v>
      </c>
      <c r="C25" s="1">
        <v>1.2089810017271158E-2</v>
      </c>
      <c r="D25" s="1">
        <v>3.4542314335060447E-3</v>
      </c>
      <c r="E25">
        <v>2461128</v>
      </c>
      <c r="F25" t="s">
        <v>371</v>
      </c>
    </row>
    <row r="26" spans="1:6" x14ac:dyDescent="0.25">
      <c r="A26" s="1">
        <f t="shared" si="0"/>
        <v>0.25773195876288657</v>
      </c>
      <c r="B26" s="1">
        <v>0.75</v>
      </c>
      <c r="C26" s="1">
        <v>0.18097014925373134</v>
      </c>
      <c r="D26" s="1">
        <v>6.5298507462686561E-2</v>
      </c>
      <c r="E26">
        <v>424137</v>
      </c>
      <c r="F26" t="s">
        <v>372</v>
      </c>
    </row>
    <row r="27" spans="1:6" x14ac:dyDescent="0.25">
      <c r="A27" s="1">
        <f t="shared" si="0"/>
        <v>0.26804123711340205</v>
      </c>
      <c r="B27" s="1">
        <v>0.99</v>
      </c>
      <c r="C27" s="1">
        <v>1.4644351464435146E-2</v>
      </c>
      <c r="D27" s="1">
        <v>0</v>
      </c>
      <c r="E27">
        <v>282861</v>
      </c>
      <c r="F27" t="s">
        <v>372</v>
      </c>
    </row>
    <row r="28" spans="1:6" x14ac:dyDescent="0.25">
      <c r="A28" s="1">
        <f t="shared" si="0"/>
        <v>0.27835051546391754</v>
      </c>
      <c r="B28" s="1">
        <v>0.91</v>
      </c>
      <c r="C28" s="1">
        <v>4.8625792811839326E-2</v>
      </c>
      <c r="D28" s="1">
        <v>3.8054968287526428E-2</v>
      </c>
      <c r="E28">
        <v>1047642</v>
      </c>
      <c r="F28" t="s">
        <v>371</v>
      </c>
    </row>
    <row r="29" spans="1:6" x14ac:dyDescent="0.25">
      <c r="A29" s="1">
        <f t="shared" si="0"/>
        <v>0.28865979381443296</v>
      </c>
      <c r="B29" s="1">
        <v>0.83</v>
      </c>
      <c r="C29" s="1">
        <v>0.12146892655367232</v>
      </c>
      <c r="D29" s="1">
        <v>4.8022598870056499E-2</v>
      </c>
      <c r="E29">
        <v>1461634</v>
      </c>
      <c r="F29" t="s">
        <v>371</v>
      </c>
    </row>
    <row r="30" spans="1:6" x14ac:dyDescent="0.25">
      <c r="A30" s="1">
        <f t="shared" si="0"/>
        <v>0.29896907216494845</v>
      </c>
      <c r="B30" s="1">
        <v>0.88</v>
      </c>
      <c r="C30" s="1">
        <v>9.9678456591639875E-2</v>
      </c>
      <c r="D30" s="1">
        <v>1.9292604501607719E-2</v>
      </c>
      <c r="E30">
        <v>382850</v>
      </c>
      <c r="F30" t="s">
        <v>372</v>
      </c>
    </row>
    <row r="31" spans="1:6" x14ac:dyDescent="0.25">
      <c r="A31" s="1">
        <f t="shared" si="0"/>
        <v>0.30927835051546393</v>
      </c>
      <c r="B31" s="1">
        <v>0.65</v>
      </c>
      <c r="C31" s="1">
        <v>0.26860841423948217</v>
      </c>
      <c r="D31" s="1">
        <v>7.7669902912621352E-2</v>
      </c>
      <c r="E31">
        <v>397146</v>
      </c>
      <c r="F31" t="s">
        <v>372</v>
      </c>
    </row>
    <row r="32" spans="1:6" x14ac:dyDescent="0.25">
      <c r="A32" s="1">
        <f t="shared" si="0"/>
        <v>0.31958762886597936</v>
      </c>
      <c r="B32" s="1">
        <v>0.6</v>
      </c>
      <c r="C32" s="1">
        <v>0.31493506493506496</v>
      </c>
      <c r="D32" s="1">
        <v>8.4415584415584416E-2</v>
      </c>
      <c r="E32">
        <v>970303</v>
      </c>
      <c r="F32" t="s">
        <v>371</v>
      </c>
    </row>
    <row r="33" spans="1:6" x14ac:dyDescent="0.25">
      <c r="A33" s="1">
        <f t="shared" si="0"/>
        <v>0.32989690721649484</v>
      </c>
      <c r="B33" s="1">
        <v>0.78</v>
      </c>
      <c r="C33" s="1">
        <v>0.13636363636363635</v>
      </c>
      <c r="D33" s="1">
        <v>8.7412587412587409E-2</v>
      </c>
      <c r="E33">
        <v>610364</v>
      </c>
      <c r="F33" t="s">
        <v>371</v>
      </c>
    </row>
    <row r="34" spans="1:6" x14ac:dyDescent="0.25">
      <c r="A34" s="1">
        <f t="shared" si="0"/>
        <v>0.34020618556701032</v>
      </c>
      <c r="B34" s="1">
        <v>0.94</v>
      </c>
      <c r="C34" s="1">
        <v>4.1198501872659173E-2</v>
      </c>
      <c r="D34" s="1">
        <v>1.8726591760299626E-2</v>
      </c>
      <c r="E34">
        <v>107223</v>
      </c>
      <c r="F34" t="s">
        <v>372</v>
      </c>
    </row>
    <row r="35" spans="1:6" x14ac:dyDescent="0.25">
      <c r="A35" s="1">
        <f t="shared" si="0"/>
        <v>0.35051546391752575</v>
      </c>
      <c r="B35" s="1">
        <v>0.97</v>
      </c>
      <c r="C35" s="1">
        <v>1.1406844106463879E-2</v>
      </c>
      <c r="D35" s="1">
        <v>2.2813688212927757E-2</v>
      </c>
      <c r="E35">
        <v>229813</v>
      </c>
      <c r="F35" t="s">
        <v>372</v>
      </c>
    </row>
    <row r="36" spans="1:6" x14ac:dyDescent="0.25">
      <c r="A36" s="1">
        <f t="shared" si="0"/>
        <v>0.36082474226804123</v>
      </c>
      <c r="B36" s="1">
        <v>0.52</v>
      </c>
      <c r="C36" s="1">
        <v>0.20532319391634982</v>
      </c>
      <c r="D36" s="1">
        <v>0.27756653992395436</v>
      </c>
      <c r="E36">
        <v>152116</v>
      </c>
      <c r="F36" t="s">
        <v>372</v>
      </c>
    </row>
    <row r="37" spans="1:6" x14ac:dyDescent="0.25">
      <c r="A37" s="1">
        <f t="shared" si="0"/>
        <v>0.37113402061855671</v>
      </c>
      <c r="B37" s="1">
        <v>0.86</v>
      </c>
      <c r="C37" s="1">
        <v>8.5470085470085472E-2</v>
      </c>
      <c r="D37" s="1">
        <v>5.128205128205128E-2</v>
      </c>
      <c r="E37">
        <v>1301995</v>
      </c>
      <c r="F37" t="s">
        <v>371</v>
      </c>
    </row>
    <row r="38" spans="1:6" x14ac:dyDescent="0.25">
      <c r="A38" s="1">
        <f t="shared" si="0"/>
        <v>0.38144329896907214</v>
      </c>
      <c r="B38" s="1">
        <v>0.73</v>
      </c>
      <c r="C38" s="1">
        <v>0.10087719298245613</v>
      </c>
      <c r="D38" s="1">
        <v>0.16666666666666666</v>
      </c>
      <c r="E38">
        <v>297117</v>
      </c>
      <c r="F38" t="s">
        <v>372</v>
      </c>
    </row>
    <row r="39" spans="1:6" x14ac:dyDescent="0.25">
      <c r="A39" s="1">
        <f t="shared" si="0"/>
        <v>0.39175257731958762</v>
      </c>
      <c r="B39" s="1">
        <v>0.9</v>
      </c>
      <c r="C39" s="1">
        <v>8.9108910891089105E-2</v>
      </c>
      <c r="D39" s="1">
        <v>1.4851485148514851E-2</v>
      </c>
      <c r="E39">
        <v>467166</v>
      </c>
      <c r="F39" t="s">
        <v>372</v>
      </c>
    </row>
    <row r="40" spans="1:6" x14ac:dyDescent="0.25">
      <c r="A40" s="1">
        <f t="shared" si="0"/>
        <v>0.40206185567010311</v>
      </c>
      <c r="B40" s="1">
        <v>0.79</v>
      </c>
      <c r="C40" s="1">
        <v>0.13402061855670103</v>
      </c>
      <c r="D40" s="1">
        <v>7.7319587628865982E-2</v>
      </c>
      <c r="E40">
        <v>153261</v>
      </c>
      <c r="F40" t="s">
        <v>372</v>
      </c>
    </row>
    <row r="41" spans="1:6" x14ac:dyDescent="0.25">
      <c r="A41" s="1">
        <f t="shared" si="0"/>
        <v>0.41237113402061853</v>
      </c>
      <c r="B41" s="1">
        <v>0.61</v>
      </c>
      <c r="C41" s="1">
        <v>0.16666666666666666</v>
      </c>
      <c r="D41" s="1">
        <v>0.22023809523809523</v>
      </c>
      <c r="E41">
        <v>283344</v>
      </c>
      <c r="F41" t="s">
        <v>372</v>
      </c>
    </row>
    <row r="42" spans="1:6" x14ac:dyDescent="0.25">
      <c r="A42" s="1">
        <f t="shared" si="0"/>
        <v>0.42268041237113402</v>
      </c>
      <c r="B42" s="1">
        <v>0.52</v>
      </c>
      <c r="C42" s="1">
        <v>0.39880952380952384</v>
      </c>
      <c r="D42" s="1">
        <v>7.7380952380952384E-2</v>
      </c>
      <c r="E42">
        <v>199342</v>
      </c>
      <c r="F42" t="s">
        <v>372</v>
      </c>
    </row>
    <row r="43" spans="1:6" x14ac:dyDescent="0.25">
      <c r="A43" s="1">
        <f t="shared" si="0"/>
        <v>0.4329896907216495</v>
      </c>
      <c r="B43" s="1">
        <v>0.78</v>
      </c>
      <c r="C43" s="1">
        <v>0.15384615384615385</v>
      </c>
      <c r="D43" s="1">
        <v>6.4102564102564097E-2</v>
      </c>
      <c r="E43">
        <v>357465</v>
      </c>
      <c r="F43" t="s">
        <v>372</v>
      </c>
    </row>
    <row r="44" spans="1:6" x14ac:dyDescent="0.25">
      <c r="A44" s="1">
        <f t="shared" si="0"/>
        <v>0.44329896907216493</v>
      </c>
      <c r="B44" s="1">
        <v>0.27</v>
      </c>
      <c r="C44" s="1">
        <v>0.60389610389610393</v>
      </c>
      <c r="D44" s="1">
        <v>0.12987012987012986</v>
      </c>
      <c r="E44">
        <v>82873</v>
      </c>
      <c r="F44" t="s">
        <v>373</v>
      </c>
    </row>
    <row r="45" spans="1:6" x14ac:dyDescent="0.25">
      <c r="A45" s="1">
        <f t="shared" si="0"/>
        <v>0.45360824742268041</v>
      </c>
      <c r="B45" s="1">
        <v>0.78</v>
      </c>
      <c r="C45" s="1">
        <v>0.1476510067114094</v>
      </c>
      <c r="D45" s="1">
        <v>7.3825503355704702E-2</v>
      </c>
      <c r="E45">
        <v>539797</v>
      </c>
      <c r="F45" t="s">
        <v>371</v>
      </c>
    </row>
    <row r="46" spans="1:6" x14ac:dyDescent="0.25">
      <c r="A46" s="1">
        <f t="shared" si="0"/>
        <v>0.46391752577319589</v>
      </c>
      <c r="B46" s="1">
        <v>0.56000000000000005</v>
      </c>
      <c r="C46" s="1">
        <v>0.33333333333333331</v>
      </c>
      <c r="D46" s="1">
        <v>0.10884353741496598</v>
      </c>
      <c r="E46">
        <v>344976</v>
      </c>
      <c r="F46" t="s">
        <v>372</v>
      </c>
    </row>
    <row r="47" spans="1:6" x14ac:dyDescent="0.25">
      <c r="A47" s="1">
        <f t="shared" si="0"/>
        <v>0.47422680412371132</v>
      </c>
      <c r="B47" s="1">
        <v>0.7</v>
      </c>
      <c r="C47" s="1">
        <v>0.22758620689655173</v>
      </c>
      <c r="D47" s="1">
        <v>6.8965517241379309E-2</v>
      </c>
      <c r="E47">
        <v>205129</v>
      </c>
      <c r="F47" t="s">
        <v>372</v>
      </c>
    </row>
    <row r="48" spans="1:6" x14ac:dyDescent="0.25">
      <c r="A48" s="1">
        <f t="shared" si="0"/>
        <v>0.4845360824742268</v>
      </c>
      <c r="B48" s="1">
        <v>0.94</v>
      </c>
      <c r="C48" s="1">
        <v>3.2520325203252036E-2</v>
      </c>
      <c r="D48" s="1">
        <v>2.4390243902439025E-2</v>
      </c>
      <c r="E48">
        <v>165775</v>
      </c>
      <c r="F48" t="s">
        <v>372</v>
      </c>
    </row>
    <row r="49" spans="1:6" x14ac:dyDescent="0.25">
      <c r="A49" s="1">
        <f t="shared" si="0"/>
        <v>0.49484536082474229</v>
      </c>
      <c r="B49" s="1">
        <v>0.53</v>
      </c>
      <c r="C49" s="1">
        <v>0.11504424778761062</v>
      </c>
      <c r="D49" s="1">
        <v>0.35398230088495575</v>
      </c>
      <c r="E49">
        <v>394497</v>
      </c>
      <c r="F49" t="s">
        <v>372</v>
      </c>
    </row>
    <row r="50" spans="1:6" x14ac:dyDescent="0.25">
      <c r="A50" s="1">
        <f t="shared" si="0"/>
        <v>0.50515463917525771</v>
      </c>
      <c r="B50" s="1">
        <v>0.88</v>
      </c>
      <c r="C50" s="1">
        <v>6.25E-2</v>
      </c>
      <c r="D50" s="1">
        <v>6.25E-2</v>
      </c>
      <c r="E50">
        <v>191857</v>
      </c>
      <c r="F50" t="s">
        <v>372</v>
      </c>
    </row>
    <row r="51" spans="1:6" x14ac:dyDescent="0.25">
      <c r="A51" s="1">
        <f t="shared" si="0"/>
        <v>0.51546391752577314</v>
      </c>
      <c r="B51" s="1">
        <v>0.16</v>
      </c>
      <c r="C51" s="1">
        <v>0.69230769230769229</v>
      </c>
      <c r="D51" s="1">
        <v>0.14423076923076922</v>
      </c>
      <c r="E51">
        <v>454823</v>
      </c>
      <c r="F51" t="s">
        <v>372</v>
      </c>
    </row>
    <row r="52" spans="1:6" x14ac:dyDescent="0.25">
      <c r="A52" s="1">
        <f t="shared" si="0"/>
        <v>0.52577319587628868</v>
      </c>
      <c r="B52" s="1">
        <v>0.56000000000000005</v>
      </c>
      <c r="C52" s="1">
        <v>0.28846153846153844</v>
      </c>
      <c r="D52" s="1">
        <v>0.15384615384615385</v>
      </c>
      <c r="E52">
        <v>131017</v>
      </c>
      <c r="F52" t="s">
        <v>372</v>
      </c>
    </row>
    <row r="53" spans="1:6" x14ac:dyDescent="0.25">
      <c r="A53" s="1">
        <f t="shared" si="0"/>
        <v>0.53608247422680411</v>
      </c>
      <c r="B53" s="1">
        <v>0.28000000000000003</v>
      </c>
      <c r="C53" s="1">
        <v>0.20388349514563106</v>
      </c>
      <c r="D53" s="1">
        <v>0.5145631067961165</v>
      </c>
      <c r="E53">
        <v>141601</v>
      </c>
      <c r="F53" t="s">
        <v>372</v>
      </c>
    </row>
    <row r="54" spans="1:6" x14ac:dyDescent="0.25">
      <c r="A54" s="1">
        <f t="shared" si="0"/>
        <v>0.54639175257731953</v>
      </c>
      <c r="B54" s="1">
        <v>0.86</v>
      </c>
      <c r="C54" s="1">
        <v>9.2783505154639179E-2</v>
      </c>
      <c r="D54" s="1">
        <v>5.1546391752577317E-2</v>
      </c>
      <c r="E54">
        <v>95127</v>
      </c>
      <c r="F54" t="s">
        <v>373</v>
      </c>
    </row>
    <row r="55" spans="1:6" x14ac:dyDescent="0.25">
      <c r="A55" s="1">
        <f t="shared" si="0"/>
        <v>0.55670103092783507</v>
      </c>
      <c r="B55" s="1">
        <v>0.56999999999999995</v>
      </c>
      <c r="C55" s="1">
        <v>0.32183908045977011</v>
      </c>
      <c r="D55" s="1">
        <v>0.10344827586206896</v>
      </c>
      <c r="E55">
        <v>708440</v>
      </c>
      <c r="F55" t="s">
        <v>371</v>
      </c>
    </row>
    <row r="56" spans="1:6" x14ac:dyDescent="0.25">
      <c r="A56" s="1">
        <f t="shared" si="0"/>
        <v>0.5670103092783505</v>
      </c>
      <c r="B56" s="1">
        <v>0.82</v>
      </c>
      <c r="C56" s="1">
        <v>9.1954022988505746E-2</v>
      </c>
      <c r="D56" s="1">
        <v>9.1954022988505746E-2</v>
      </c>
      <c r="E56">
        <v>429271</v>
      </c>
      <c r="F56" t="s">
        <v>372</v>
      </c>
    </row>
    <row r="57" spans="1:6" x14ac:dyDescent="0.25">
      <c r="A57" s="1">
        <f t="shared" si="0"/>
        <v>0.57731958762886593</v>
      </c>
      <c r="B57" s="1">
        <v>0.64</v>
      </c>
      <c r="C57" s="1">
        <v>0.22222222222222221</v>
      </c>
      <c r="D57" s="1">
        <v>0.13580246913580246</v>
      </c>
      <c r="E57">
        <v>97824</v>
      </c>
      <c r="F57" t="s">
        <v>373</v>
      </c>
    </row>
    <row r="58" spans="1:6" x14ac:dyDescent="0.25">
      <c r="A58" s="1">
        <f t="shared" si="0"/>
        <v>0.58762886597938147</v>
      </c>
      <c r="B58" s="1">
        <v>0.31</v>
      </c>
      <c r="C58" s="1">
        <v>0.48051948051948051</v>
      </c>
      <c r="D58" s="1">
        <v>0.20779220779220781</v>
      </c>
      <c r="E58">
        <v>161838</v>
      </c>
      <c r="F58" t="s">
        <v>372</v>
      </c>
    </row>
    <row r="59" spans="1:6" x14ac:dyDescent="0.25">
      <c r="A59" s="1">
        <f t="shared" si="0"/>
        <v>0.59793814432989689</v>
      </c>
      <c r="B59" s="1">
        <v>0.88</v>
      </c>
      <c r="C59" s="1">
        <v>2.6315789473684209E-2</v>
      </c>
      <c r="D59" s="1">
        <v>9.2105263157894732E-2</v>
      </c>
      <c r="E59">
        <v>345705</v>
      </c>
      <c r="F59" t="s">
        <v>372</v>
      </c>
    </row>
    <row r="60" spans="1:6" x14ac:dyDescent="0.25">
      <c r="A60" s="1">
        <f t="shared" si="0"/>
        <v>0.60824742268041232</v>
      </c>
      <c r="B60" s="1">
        <v>0.31</v>
      </c>
      <c r="C60" s="1">
        <v>0.57333333333333336</v>
      </c>
      <c r="D60" s="1">
        <v>0.12</v>
      </c>
      <c r="E60">
        <v>176574</v>
      </c>
      <c r="F60" t="s">
        <v>372</v>
      </c>
    </row>
    <row r="61" spans="1:6" x14ac:dyDescent="0.25">
      <c r="A61" s="1">
        <f t="shared" si="0"/>
        <v>0.61855670103092786</v>
      </c>
      <c r="B61" s="1">
        <v>0.91</v>
      </c>
      <c r="C61" s="1">
        <v>5.3333333333333337E-2</v>
      </c>
      <c r="D61" s="1">
        <v>0.04</v>
      </c>
      <c r="E61">
        <v>2300066</v>
      </c>
      <c r="F61" t="s">
        <v>371</v>
      </c>
    </row>
    <row r="62" spans="1:6" x14ac:dyDescent="0.25">
      <c r="A62" s="1">
        <f t="shared" si="0"/>
        <v>0.62886597938144329</v>
      </c>
      <c r="B62" s="1">
        <v>0.81</v>
      </c>
      <c r="C62" s="1">
        <v>0.16</v>
      </c>
      <c r="D62" s="1">
        <v>2.6666666666666668E-2</v>
      </c>
      <c r="E62">
        <v>173555</v>
      </c>
      <c r="F62" t="s">
        <v>372</v>
      </c>
    </row>
    <row r="63" spans="1:6" x14ac:dyDescent="0.25">
      <c r="A63" s="1">
        <f t="shared" si="0"/>
        <v>0.63917525773195871</v>
      </c>
      <c r="B63" s="1">
        <v>0.97</v>
      </c>
      <c r="C63" s="1">
        <v>2.7397260273972601E-2</v>
      </c>
      <c r="D63" s="1">
        <v>0</v>
      </c>
      <c r="E63">
        <v>117157</v>
      </c>
      <c r="F63" t="s">
        <v>372</v>
      </c>
    </row>
    <row r="64" spans="1:6" x14ac:dyDescent="0.25">
      <c r="A64" s="1">
        <f t="shared" si="0"/>
        <v>0.64948453608247425</v>
      </c>
      <c r="B64" s="1">
        <v>0.66</v>
      </c>
      <c r="C64" s="1">
        <v>0.12676056338028169</v>
      </c>
      <c r="D64" s="1">
        <v>0.21126760563380281</v>
      </c>
      <c r="E64">
        <v>88601</v>
      </c>
      <c r="F64" t="s">
        <v>373</v>
      </c>
    </row>
    <row r="65" spans="1:6" x14ac:dyDescent="0.25">
      <c r="A65" s="1">
        <f t="shared" si="0"/>
        <v>0.65979381443298968</v>
      </c>
      <c r="B65" s="1">
        <v>0.59</v>
      </c>
      <c r="C65" s="1">
        <v>0.15492957746478872</v>
      </c>
      <c r="D65" s="1">
        <v>0.25352112676056338</v>
      </c>
      <c r="E65">
        <v>195544</v>
      </c>
      <c r="F65" t="s">
        <v>372</v>
      </c>
    </row>
    <row r="66" spans="1:6" x14ac:dyDescent="0.25">
      <c r="A66" s="1">
        <f t="shared" si="0"/>
        <v>0.67010309278350511</v>
      </c>
      <c r="B66" s="1">
        <v>0.32</v>
      </c>
      <c r="C66" s="1">
        <v>0.45454545454545453</v>
      </c>
      <c r="D66" s="1">
        <v>0.22727272727272727</v>
      </c>
      <c r="E66">
        <v>190811</v>
      </c>
      <c r="F66" t="s">
        <v>372</v>
      </c>
    </row>
    <row r="67" spans="1:6" x14ac:dyDescent="0.25">
      <c r="A67" s="1">
        <f t="shared" ref="A67:A98" si="1">(ROW()-1)/97</f>
        <v>0.68041237113402064</v>
      </c>
      <c r="B67" s="1">
        <v>0.77</v>
      </c>
      <c r="C67" s="1">
        <v>0.16666666666666666</v>
      </c>
      <c r="D67" s="1">
        <v>6.0606060606060608E-2</v>
      </c>
      <c r="E67">
        <v>43411</v>
      </c>
      <c r="F67" t="s">
        <v>373</v>
      </c>
    </row>
    <row r="68" spans="1:6" x14ac:dyDescent="0.25">
      <c r="A68" s="1">
        <f t="shared" si="1"/>
        <v>0.69072164948453607</v>
      </c>
      <c r="B68" s="1">
        <v>0.65</v>
      </c>
      <c r="C68" s="1">
        <v>0.22580645161290322</v>
      </c>
      <c r="D68" s="1">
        <v>0.12903225806451613</v>
      </c>
      <c r="E68">
        <v>16509</v>
      </c>
      <c r="F68" t="s">
        <v>373</v>
      </c>
    </row>
    <row r="69" spans="1:6" x14ac:dyDescent="0.25">
      <c r="A69" s="1">
        <f t="shared" si="1"/>
        <v>0.7010309278350515</v>
      </c>
      <c r="B69" s="1">
        <v>1</v>
      </c>
      <c r="C69" s="1">
        <v>0</v>
      </c>
      <c r="D69" s="1">
        <v>0</v>
      </c>
      <c r="E69">
        <v>29273</v>
      </c>
      <c r="F69" t="s">
        <v>373</v>
      </c>
    </row>
    <row r="70" spans="1:6" x14ac:dyDescent="0.25">
      <c r="A70" s="1">
        <f t="shared" si="1"/>
        <v>0.71134020618556704</v>
      </c>
      <c r="B70" s="1">
        <v>0.83</v>
      </c>
      <c r="C70" s="1">
        <v>0.10344827586206896</v>
      </c>
      <c r="D70" s="1">
        <v>6.8965517241379309E-2</v>
      </c>
      <c r="E70">
        <v>113847</v>
      </c>
      <c r="F70" t="s">
        <v>372</v>
      </c>
    </row>
    <row r="71" spans="1:6" x14ac:dyDescent="0.25">
      <c r="A71" s="1">
        <f t="shared" si="1"/>
        <v>0.72164948453608246</v>
      </c>
      <c r="B71" s="1">
        <v>0.86</v>
      </c>
      <c r="C71" s="1">
        <v>0.10714285714285714</v>
      </c>
      <c r="D71" s="1">
        <v>3.5714285714285712E-2</v>
      </c>
      <c r="E71">
        <v>180309</v>
      </c>
      <c r="F71" t="s">
        <v>372</v>
      </c>
    </row>
    <row r="72" spans="1:6" x14ac:dyDescent="0.25">
      <c r="A72" s="1">
        <f t="shared" si="1"/>
        <v>0.73195876288659789</v>
      </c>
      <c r="B72" s="1">
        <v>0.6</v>
      </c>
      <c r="C72" s="1">
        <v>0.4</v>
      </c>
      <c r="D72" s="1">
        <v>0</v>
      </c>
      <c r="E72">
        <v>69273</v>
      </c>
      <c r="F72" t="s">
        <v>373</v>
      </c>
    </row>
    <row r="73" spans="1:6" x14ac:dyDescent="0.25">
      <c r="A73" s="1">
        <f t="shared" si="1"/>
        <v>0.74226804123711343</v>
      </c>
      <c r="B73" s="1">
        <v>0.89</v>
      </c>
      <c r="C73" s="1">
        <v>0.11320754716981132</v>
      </c>
      <c r="D73" s="1">
        <v>0</v>
      </c>
      <c r="E73">
        <v>221876</v>
      </c>
      <c r="F73" t="s">
        <v>372</v>
      </c>
    </row>
    <row r="74" spans="1:6" x14ac:dyDescent="0.25">
      <c r="A74" s="1">
        <f t="shared" si="1"/>
        <v>0.75257731958762886</v>
      </c>
      <c r="B74" s="1">
        <v>1</v>
      </c>
      <c r="C74" s="1">
        <v>0</v>
      </c>
      <c r="D74" s="1">
        <v>0</v>
      </c>
      <c r="E74">
        <v>193550</v>
      </c>
      <c r="F74" t="s">
        <v>372</v>
      </c>
    </row>
    <row r="75" spans="1:6" x14ac:dyDescent="0.25">
      <c r="A75" s="1">
        <f t="shared" si="1"/>
        <v>0.76288659793814428</v>
      </c>
      <c r="B75" s="1">
        <v>0.45</v>
      </c>
      <c r="C75" s="1">
        <v>0.19607843137254902</v>
      </c>
      <c r="D75" s="1">
        <v>0.35294117647058826</v>
      </c>
      <c r="E75">
        <v>712145</v>
      </c>
      <c r="F75" t="s">
        <v>371</v>
      </c>
    </row>
    <row r="76" spans="1:6" x14ac:dyDescent="0.25">
      <c r="A76" s="1">
        <f t="shared" si="1"/>
        <v>0.77319587628865982</v>
      </c>
      <c r="B76" s="1">
        <v>0.61</v>
      </c>
      <c r="C76" s="1">
        <v>0.24489795918367346</v>
      </c>
      <c r="D76" s="1">
        <v>0.14285714285714285</v>
      </c>
      <c r="E76">
        <v>911543</v>
      </c>
      <c r="F76" t="s">
        <v>371</v>
      </c>
    </row>
    <row r="77" spans="1:6" x14ac:dyDescent="0.25">
      <c r="A77" s="1">
        <f t="shared" si="1"/>
        <v>0.78350515463917525</v>
      </c>
      <c r="B77" s="1">
        <v>0.69</v>
      </c>
      <c r="C77" s="1">
        <v>0.23809523809523808</v>
      </c>
      <c r="D77" s="1">
        <v>7.1428571428571425E-2</v>
      </c>
      <c r="E77">
        <v>298185</v>
      </c>
      <c r="F77" t="s">
        <v>372</v>
      </c>
    </row>
    <row r="78" spans="1:6" x14ac:dyDescent="0.25">
      <c r="A78" s="1">
        <f t="shared" si="1"/>
        <v>0.79381443298969068</v>
      </c>
      <c r="B78" s="1">
        <v>0.71</v>
      </c>
      <c r="C78" s="1">
        <v>8.5714285714285715E-2</v>
      </c>
      <c r="D78" s="1">
        <v>0.2</v>
      </c>
      <c r="E78">
        <v>368106</v>
      </c>
      <c r="F78" t="s">
        <v>372</v>
      </c>
    </row>
    <row r="79" spans="1:6" x14ac:dyDescent="0.25">
      <c r="A79" s="1">
        <f t="shared" si="1"/>
        <v>0.80412371134020622</v>
      </c>
      <c r="B79" s="1">
        <v>0.7</v>
      </c>
      <c r="C79" s="1">
        <v>0.27272727272727271</v>
      </c>
      <c r="D79" s="1">
        <v>3.0303030303030304E-2</v>
      </c>
      <c r="E79">
        <v>327737</v>
      </c>
      <c r="F79" t="s">
        <v>372</v>
      </c>
    </row>
    <row r="80" spans="1:6" x14ac:dyDescent="0.25">
      <c r="A80" s="1">
        <f t="shared" si="1"/>
        <v>0.81443298969072164</v>
      </c>
      <c r="B80" s="1">
        <v>0.93</v>
      </c>
      <c r="C80" s="1">
        <v>3.5714285714285712E-2</v>
      </c>
      <c r="D80" s="1">
        <v>3.5714285714285712E-2</v>
      </c>
      <c r="E80">
        <v>589746</v>
      </c>
      <c r="F80" t="s">
        <v>371</v>
      </c>
    </row>
    <row r="81" spans="1:6" x14ac:dyDescent="0.25">
      <c r="A81" s="1">
        <f t="shared" si="1"/>
        <v>0.82474226804123707</v>
      </c>
      <c r="B81" s="1">
        <v>0.75</v>
      </c>
      <c r="C81" s="1">
        <v>0.25</v>
      </c>
      <c r="D81" s="1">
        <v>0</v>
      </c>
      <c r="E81">
        <v>263636</v>
      </c>
      <c r="F81" t="s">
        <v>372</v>
      </c>
    </row>
    <row r="82" spans="1:6" x14ac:dyDescent="0.25">
      <c r="A82" s="1">
        <f t="shared" si="1"/>
        <v>0.83505154639175261</v>
      </c>
      <c r="B82" s="1">
        <v>1</v>
      </c>
      <c r="C82" s="1">
        <v>0</v>
      </c>
      <c r="D82" s="1">
        <v>0</v>
      </c>
      <c r="E82">
        <v>310319</v>
      </c>
      <c r="F82" t="s">
        <v>372</v>
      </c>
    </row>
    <row r="83" spans="1:6" x14ac:dyDescent="0.25">
      <c r="A83" s="1">
        <f t="shared" si="1"/>
        <v>0.84536082474226804</v>
      </c>
      <c r="B83" s="1">
        <v>0</v>
      </c>
      <c r="C83" s="1">
        <v>0.82608695652173914</v>
      </c>
      <c r="D83" s="1">
        <v>0.17391304347826086</v>
      </c>
      <c r="E83">
        <v>111412</v>
      </c>
      <c r="F83" t="s">
        <v>372</v>
      </c>
    </row>
    <row r="84" spans="1:6" x14ac:dyDescent="0.25">
      <c r="A84" s="1">
        <f t="shared" si="1"/>
        <v>0.85567010309278346</v>
      </c>
      <c r="B84" s="1">
        <v>0.26</v>
      </c>
      <c r="C84" s="1">
        <v>0.43478260869565216</v>
      </c>
      <c r="D84" s="1">
        <v>0.30434782608695654</v>
      </c>
      <c r="E84">
        <v>98050</v>
      </c>
      <c r="F84" t="s">
        <v>373</v>
      </c>
    </row>
    <row r="85" spans="1:6" x14ac:dyDescent="0.25">
      <c r="A85" s="1">
        <f t="shared" si="1"/>
        <v>0.865979381443299</v>
      </c>
      <c r="B85" s="1">
        <v>0.86</v>
      </c>
      <c r="C85" s="1">
        <v>0.14285714285714285</v>
      </c>
      <c r="D85" s="1">
        <v>0</v>
      </c>
      <c r="E85">
        <v>101198</v>
      </c>
      <c r="F85" t="s">
        <v>372</v>
      </c>
    </row>
    <row r="86" spans="1:6" x14ac:dyDescent="0.25">
      <c r="A86" s="1">
        <f t="shared" si="1"/>
        <v>0.87628865979381443</v>
      </c>
      <c r="B86" s="1">
        <v>0.48</v>
      </c>
      <c r="C86" s="1">
        <v>0.2857142857142857</v>
      </c>
      <c r="D86" s="1">
        <v>0.23809523809523808</v>
      </c>
      <c r="E86">
        <v>68684</v>
      </c>
      <c r="F86" t="s">
        <v>373</v>
      </c>
    </row>
    <row r="87" spans="1:6" x14ac:dyDescent="0.25">
      <c r="A87" s="1">
        <f t="shared" si="1"/>
        <v>0.88659793814432986</v>
      </c>
      <c r="B87" s="1">
        <v>1</v>
      </c>
      <c r="C87" s="1">
        <v>0</v>
      </c>
      <c r="D87" s="1">
        <v>0</v>
      </c>
      <c r="E87">
        <v>401355</v>
      </c>
      <c r="F87" t="s">
        <v>372</v>
      </c>
    </row>
    <row r="88" spans="1:6" x14ac:dyDescent="0.25">
      <c r="A88" s="1">
        <f t="shared" si="1"/>
        <v>0.89690721649484539</v>
      </c>
      <c r="B88" s="1">
        <v>0.74</v>
      </c>
      <c r="C88" s="1">
        <v>0.15789473684210525</v>
      </c>
      <c r="D88" s="1">
        <v>0.10526315789473684</v>
      </c>
      <c r="E88">
        <v>1101351</v>
      </c>
      <c r="F88" t="s">
        <v>371</v>
      </c>
    </row>
    <row r="89" spans="1:6" x14ac:dyDescent="0.25">
      <c r="A89" s="1">
        <f t="shared" si="1"/>
        <v>0.90721649484536082</v>
      </c>
      <c r="B89" s="1">
        <v>0.94</v>
      </c>
      <c r="C89" s="1">
        <v>0</v>
      </c>
      <c r="D89" s="1">
        <v>5.8823529411764705E-2</v>
      </c>
      <c r="E89">
        <v>132017</v>
      </c>
      <c r="F89" t="s">
        <v>372</v>
      </c>
    </row>
    <row r="90" spans="1:6" x14ac:dyDescent="0.25">
      <c r="A90" s="1">
        <f t="shared" si="1"/>
        <v>0.91752577319587625</v>
      </c>
      <c r="B90" s="1">
        <v>1</v>
      </c>
      <c r="C90" s="1">
        <v>0</v>
      </c>
      <c r="D90" s="1">
        <v>0</v>
      </c>
      <c r="E90">
        <v>150436</v>
      </c>
      <c r="F90" t="s">
        <v>372</v>
      </c>
    </row>
    <row r="91" spans="1:6" x14ac:dyDescent="0.25">
      <c r="A91" s="1">
        <f t="shared" si="1"/>
        <v>0.92783505154639179</v>
      </c>
      <c r="B91" s="1">
        <v>1</v>
      </c>
      <c r="C91" s="1">
        <v>0</v>
      </c>
      <c r="D91" s="1">
        <v>0</v>
      </c>
      <c r="E91">
        <v>53272</v>
      </c>
      <c r="F91" t="s">
        <v>373</v>
      </c>
    </row>
    <row r="92" spans="1:6" x14ac:dyDescent="0.25">
      <c r="A92" s="1">
        <f t="shared" si="1"/>
        <v>0.93814432989690721</v>
      </c>
      <c r="B92" s="1">
        <v>0.56999999999999995</v>
      </c>
      <c r="C92" s="1">
        <v>0</v>
      </c>
      <c r="D92" s="1">
        <v>0.42857142857142855</v>
      </c>
      <c r="E92">
        <v>110089</v>
      </c>
      <c r="F92" t="s">
        <v>372</v>
      </c>
    </row>
    <row r="93" spans="1:6" x14ac:dyDescent="0.25">
      <c r="A93" s="1">
        <f t="shared" si="1"/>
        <v>0.94845360824742264</v>
      </c>
      <c r="B93" s="1">
        <v>1</v>
      </c>
      <c r="C93" s="1">
        <v>0</v>
      </c>
      <c r="D93" s="1">
        <v>0</v>
      </c>
      <c r="E93">
        <v>377894</v>
      </c>
      <c r="F93" t="s">
        <v>372</v>
      </c>
    </row>
    <row r="94" spans="1:6" x14ac:dyDescent="0.25">
      <c r="A94" s="1">
        <f t="shared" si="1"/>
        <v>0.95876288659793818</v>
      </c>
      <c r="B94" s="1">
        <v>0.46</v>
      </c>
      <c r="C94" s="1">
        <v>0.53846153846153844</v>
      </c>
      <c r="D94" s="1">
        <v>0</v>
      </c>
      <c r="E94">
        <v>182676</v>
      </c>
      <c r="F94" t="s">
        <v>372</v>
      </c>
    </row>
    <row r="95" spans="1:6" x14ac:dyDescent="0.25">
      <c r="A95" s="1">
        <f t="shared" si="1"/>
        <v>0.96907216494845361</v>
      </c>
      <c r="B95" s="1">
        <v>1</v>
      </c>
      <c r="C95" s="1">
        <v>0</v>
      </c>
      <c r="D95" s="1">
        <v>0</v>
      </c>
      <c r="E95">
        <v>43654</v>
      </c>
      <c r="F95" t="s">
        <v>373</v>
      </c>
    </row>
    <row r="96" spans="1:6" x14ac:dyDescent="0.25">
      <c r="A96" s="1">
        <f t="shared" si="1"/>
        <v>0.97938144329896903</v>
      </c>
      <c r="B96" s="1">
        <v>1</v>
      </c>
      <c r="C96" s="1">
        <v>0</v>
      </c>
      <c r="D96" s="1">
        <v>0</v>
      </c>
      <c r="E96">
        <v>134531</v>
      </c>
      <c r="F96" t="s">
        <v>372</v>
      </c>
    </row>
    <row r="97" spans="1:6" x14ac:dyDescent="0.25">
      <c r="A97" s="1">
        <f t="shared" si="1"/>
        <v>0.98969072164948457</v>
      </c>
      <c r="B97" s="1">
        <v>0</v>
      </c>
      <c r="C97" s="1">
        <v>0.90909090909090906</v>
      </c>
      <c r="D97" s="1">
        <v>9.0909090909090912E-2</v>
      </c>
      <c r="E97">
        <v>186018</v>
      </c>
      <c r="F97" t="s">
        <v>372</v>
      </c>
    </row>
    <row r="98" spans="1:6" x14ac:dyDescent="0.25">
      <c r="A98" s="1">
        <f t="shared" si="1"/>
        <v>1</v>
      </c>
      <c r="B98" s="1">
        <v>0.7</v>
      </c>
      <c r="C98" s="1">
        <v>0.3</v>
      </c>
      <c r="D98" s="1">
        <v>0</v>
      </c>
      <c r="E98">
        <v>107595</v>
      </c>
      <c r="F98" t="s">
        <v>372</v>
      </c>
    </row>
  </sheetData>
  <sortState xmlns:xlrd2="http://schemas.microsoft.com/office/spreadsheetml/2017/richdata2" ref="D2:D244">
    <sortCondition ref="D1:D244"/>
  </sortState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CB27-F7AA-4D7C-99EB-E7807A748BEC}">
  <dimension ref="A1:G6"/>
  <sheetViews>
    <sheetView tabSelected="1" workbookViewId="0">
      <selection activeCell="F1" sqref="F1"/>
    </sheetView>
  </sheetViews>
  <sheetFormatPr defaultRowHeight="13.8" x14ac:dyDescent="0.25"/>
  <cols>
    <col min="1" max="1" width="11.44140625" bestFit="1" customWidth="1"/>
    <col min="2" max="4" width="5.77734375" bestFit="1" customWidth="1"/>
  </cols>
  <sheetData>
    <row r="1" spans="1:7" ht="41.4" x14ac:dyDescent="0.25">
      <c r="A1" s="2" t="s">
        <v>346</v>
      </c>
      <c r="B1" s="1" t="s">
        <v>363</v>
      </c>
      <c r="C1" s="1" t="s">
        <v>364</v>
      </c>
      <c r="D1" s="1" t="s">
        <v>365</v>
      </c>
      <c r="F1" s="2" t="s">
        <v>388</v>
      </c>
      <c r="G1" s="2" t="s">
        <v>347</v>
      </c>
    </row>
    <row r="2" spans="1:7" x14ac:dyDescent="0.25">
      <c r="A2" s="3" t="s">
        <v>356</v>
      </c>
      <c r="B2" s="3">
        <v>3</v>
      </c>
      <c r="C2" s="3">
        <v>64</v>
      </c>
      <c r="D2" s="3">
        <v>85</v>
      </c>
      <c r="F2" s="3" t="s">
        <v>356</v>
      </c>
      <c r="G2" s="3">
        <v>1279</v>
      </c>
    </row>
    <row r="3" spans="1:7" x14ac:dyDescent="0.25">
      <c r="A3" s="3" t="s">
        <v>357</v>
      </c>
      <c r="B3" s="3">
        <v>7</v>
      </c>
      <c r="C3" s="3">
        <v>23</v>
      </c>
      <c r="D3" s="3">
        <v>10</v>
      </c>
      <c r="F3" s="3" t="s">
        <v>357</v>
      </c>
      <c r="G3" s="3">
        <v>1159</v>
      </c>
    </row>
    <row r="4" spans="1:7" x14ac:dyDescent="0.25">
      <c r="A4" s="3" t="s">
        <v>358</v>
      </c>
      <c r="B4" s="3">
        <v>13</v>
      </c>
      <c r="C4" s="3">
        <v>6</v>
      </c>
      <c r="D4" s="3">
        <v>2</v>
      </c>
      <c r="F4" s="3" t="s">
        <v>359</v>
      </c>
      <c r="G4" s="3">
        <v>1138</v>
      </c>
    </row>
    <row r="5" spans="1:7" x14ac:dyDescent="0.25">
      <c r="A5" s="3" t="s">
        <v>360</v>
      </c>
      <c r="B5" s="3">
        <v>34</v>
      </c>
      <c r="C5" s="3">
        <v>2</v>
      </c>
      <c r="D5" s="3">
        <v>0</v>
      </c>
      <c r="F5" s="3" t="s">
        <v>361</v>
      </c>
      <c r="G5" s="3">
        <v>455</v>
      </c>
    </row>
    <row r="6" spans="1:7" ht="27.6" x14ac:dyDescent="0.25">
      <c r="A6" s="3" t="s">
        <v>362</v>
      </c>
      <c r="B6" s="3">
        <v>40</v>
      </c>
      <c r="C6" s="3">
        <v>2</v>
      </c>
      <c r="D6" s="3">
        <v>0</v>
      </c>
      <c r="F6" s="3" t="s">
        <v>362</v>
      </c>
      <c r="G6" s="3">
        <v>2650</v>
      </c>
    </row>
  </sheetData>
  <phoneticPr fontId="1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7532-13F4-44FC-B27A-B3513BD78B5C}">
  <dimension ref="A1:D10"/>
  <sheetViews>
    <sheetView zoomScale="160" zoomScaleNormal="160" workbookViewId="0">
      <selection activeCell="N12" sqref="N12"/>
    </sheetView>
  </sheetViews>
  <sheetFormatPr defaultRowHeight="13.8" x14ac:dyDescent="0.25"/>
  <sheetData>
    <row r="1" spans="1:4" ht="27.6" x14ac:dyDescent="0.25">
      <c r="A1" s="2" t="s">
        <v>352</v>
      </c>
      <c r="B1" s="2" t="s">
        <v>348</v>
      </c>
      <c r="C1" s="2" t="s">
        <v>349</v>
      </c>
      <c r="D1" s="2" t="s">
        <v>350</v>
      </c>
    </row>
    <row r="2" spans="1:4" x14ac:dyDescent="0.25">
      <c r="A2" s="3">
        <v>0</v>
      </c>
      <c r="B2" s="4">
        <v>0.72</v>
      </c>
      <c r="C2" s="4">
        <v>0.28000000000000003</v>
      </c>
      <c r="D2" s="4">
        <v>0</v>
      </c>
    </row>
    <row r="3" spans="1:4" x14ac:dyDescent="0.25">
      <c r="A3" s="3">
        <v>1</v>
      </c>
      <c r="B3" s="4">
        <v>0.83</v>
      </c>
      <c r="C3" s="4">
        <v>0.1</v>
      </c>
      <c r="D3" s="4">
        <v>7.0000000000000007E-2</v>
      </c>
    </row>
    <row r="4" spans="1:4" x14ac:dyDescent="0.25">
      <c r="A4" s="3">
        <v>2</v>
      </c>
      <c r="B4" s="4">
        <v>0.73</v>
      </c>
      <c r="C4" s="4">
        <v>0.1</v>
      </c>
      <c r="D4" s="4">
        <v>0.17</v>
      </c>
    </row>
    <row r="5" spans="1:4" x14ac:dyDescent="0.25">
      <c r="A5" s="3">
        <v>3</v>
      </c>
      <c r="B5" s="4">
        <v>0.66</v>
      </c>
      <c r="C5" s="4">
        <v>0.09</v>
      </c>
      <c r="D5" s="4">
        <v>0.25</v>
      </c>
    </row>
    <row r="6" spans="1:4" x14ac:dyDescent="0.25">
      <c r="A6" s="3">
        <v>4</v>
      </c>
      <c r="B6" s="4">
        <v>0.56999999999999995</v>
      </c>
      <c r="C6" s="4">
        <v>0.09</v>
      </c>
      <c r="D6" s="4">
        <v>0.34</v>
      </c>
    </row>
    <row r="7" spans="1:4" x14ac:dyDescent="0.25">
      <c r="A7" s="3">
        <v>5</v>
      </c>
      <c r="B7" s="4">
        <v>0.52</v>
      </c>
      <c r="C7" s="4">
        <v>0.08</v>
      </c>
      <c r="D7" s="4">
        <v>0.4</v>
      </c>
    </row>
    <row r="8" spans="1:4" x14ac:dyDescent="0.25">
      <c r="A8" s="3">
        <v>6</v>
      </c>
      <c r="B8" s="4">
        <v>0.42</v>
      </c>
      <c r="C8" s="4">
        <v>0.09</v>
      </c>
      <c r="D8" s="4">
        <v>0.49</v>
      </c>
    </row>
    <row r="9" spans="1:4" x14ac:dyDescent="0.25">
      <c r="A9" s="3">
        <v>7</v>
      </c>
      <c r="B9" s="4">
        <v>0.43</v>
      </c>
      <c r="C9" s="4">
        <v>7.0000000000000007E-2</v>
      </c>
      <c r="D9" s="4">
        <v>0.5</v>
      </c>
    </row>
    <row r="10" spans="1:4" x14ac:dyDescent="0.25">
      <c r="A10" s="3" t="s">
        <v>351</v>
      </c>
      <c r="B10" s="4">
        <v>0.22</v>
      </c>
      <c r="C10" s="4">
        <v>0.04</v>
      </c>
      <c r="D10" s="4">
        <v>0.74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stats_output</vt:lpstr>
      <vt:lpstr>subject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Gengwu Zhao</cp:lastModifiedBy>
  <dcterms:created xsi:type="dcterms:W3CDTF">2025-11-28T15:10:07Z</dcterms:created>
  <dcterms:modified xsi:type="dcterms:W3CDTF">2025-12-07T16:44:05Z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2025-11-29T13:54:56Z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748c2458-807e-49bd-913f-32c5f0135bef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